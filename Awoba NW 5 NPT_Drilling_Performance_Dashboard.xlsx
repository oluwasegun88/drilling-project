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wnloads\"/>
    </mc:Choice>
  </mc:AlternateContent>
  <bookViews>
    <workbookView xWindow="-108" yWindow="-108" windowWidth="19416" windowHeight="11496" firstSheet="1" activeTab="1"/>
  </bookViews>
  <sheets>
    <sheet name="Date" sheetId="1" state="hidden" r:id="rId1"/>
    <sheet name="NPT" sheetId="2" r:id="rId2"/>
    <sheet name="Metrics" sheetId="3" state="hidden" r:id="rId3"/>
    <sheet name="Dashboard" sheetId="6" r:id="rId4"/>
    <sheet name="Validation List" sheetId="5" state="hidden" r:id="rId5"/>
  </sheets>
  <definedNames>
    <definedName name="_xlchart.v1.0" hidden="1">Metrics!$V$2:$V$8</definedName>
    <definedName name="_xlchart.v1.1" hidden="1">Metrics!$W$2:$W$8</definedName>
    <definedName name="Slicer_Responsible_Party">#N/A</definedName>
  </definedNames>
  <calcPr calcId="162913"/>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3" l="1"/>
  <c r="C4" i="3"/>
  <c r="AC2" i="3"/>
  <c r="AC3" i="3"/>
  <c r="AC4" i="3"/>
  <c r="AC5" i="3"/>
  <c r="AC6" i="3"/>
  <c r="AC7" i="3"/>
  <c r="AB3" i="3"/>
  <c r="AB4" i="3"/>
  <c r="AB5" i="3"/>
  <c r="AB6" i="3"/>
  <c r="AB7" i="3"/>
  <c r="AB2" i="3"/>
  <c r="W2" i="3"/>
  <c r="W3" i="3"/>
  <c r="W4" i="3"/>
  <c r="W5" i="3"/>
  <c r="W6" i="3"/>
  <c r="W7" i="3"/>
  <c r="W8" i="3"/>
  <c r="V3" i="3"/>
  <c r="V4" i="3"/>
  <c r="V5" i="3"/>
  <c r="V6" i="3"/>
  <c r="V7" i="3"/>
  <c r="V8" i="3"/>
  <c r="V2" i="3"/>
  <c r="P3" i="3"/>
  <c r="P4" i="3"/>
  <c r="P5" i="3"/>
  <c r="P6" i="3"/>
  <c r="P7" i="3"/>
  <c r="P2" i="3"/>
  <c r="K11" i="3"/>
  <c r="K12" i="3"/>
  <c r="K10" i="3"/>
  <c r="Q3" i="3"/>
  <c r="Q4" i="3"/>
  <c r="Q5" i="3"/>
  <c r="Q6" i="3"/>
  <c r="Q7" i="3"/>
  <c r="Q2" i="3"/>
  <c r="M11" i="3"/>
  <c r="M12" i="3"/>
  <c r="M10" i="3"/>
  <c r="L11" i="3"/>
  <c r="L12" i="3"/>
  <c r="L10" i="3"/>
  <c r="I4" i="3"/>
  <c r="E23" i="2"/>
  <c r="F23" i="2"/>
  <c r="E22" i="2"/>
  <c r="F22" i="2"/>
  <c r="F3" i="1" l="1"/>
  <c r="F21" i="2"/>
  <c r="E21" i="2"/>
  <c r="F20" i="2"/>
  <c r="E20" i="2"/>
  <c r="F19" i="2"/>
  <c r="E19" i="2"/>
  <c r="F18" i="2"/>
  <c r="E18" i="2"/>
  <c r="F17" i="2"/>
  <c r="F16" i="2"/>
  <c r="F15" i="2"/>
  <c r="F14" i="2"/>
  <c r="F13" i="2"/>
  <c r="F12" i="2"/>
  <c r="F11" i="2"/>
  <c r="F10" i="2"/>
  <c r="F9" i="2"/>
  <c r="F8" i="2"/>
  <c r="F7" i="2"/>
  <c r="F6" i="2"/>
  <c r="J4" i="3" l="1"/>
  <c r="F5" i="2"/>
  <c r="F4" i="2"/>
  <c r="E17" i="2" l="1"/>
  <c r="E5" i="2"/>
  <c r="E6" i="2"/>
  <c r="E7" i="2"/>
  <c r="E8" i="2"/>
  <c r="E9" i="2"/>
  <c r="E10" i="2"/>
  <c r="E11" i="2"/>
  <c r="E12" i="2"/>
  <c r="E13" i="2"/>
  <c r="E14" i="2"/>
  <c r="E15" i="2"/>
  <c r="E16" i="2"/>
  <c r="E4" i="2"/>
  <c r="J3" i="3" l="1"/>
  <c r="J2" i="3" l="1"/>
  <c r="I3" i="3"/>
  <c r="I2" i="3"/>
  <c r="E4" i="3" l="1"/>
  <c r="F12" i="1"/>
  <c r="F8" i="1"/>
  <c r="C3" i="3" l="1"/>
  <c r="E3" i="3" s="1"/>
  <c r="C7" i="3" l="1"/>
  <c r="E7" i="3" s="1"/>
  <c r="C5" i="3"/>
  <c r="C8" i="3" l="1"/>
</calcChain>
</file>

<file path=xl/sharedStrings.xml><?xml version="1.0" encoding="utf-8"?>
<sst xmlns="http://schemas.openxmlformats.org/spreadsheetml/2006/main" count="173" uniqueCount="86">
  <si>
    <t>Start date</t>
  </si>
  <si>
    <t>Present date</t>
  </si>
  <si>
    <t>Rig Move</t>
  </si>
  <si>
    <t>Spud Date</t>
  </si>
  <si>
    <t>Rig Payment (Conductor Piling)</t>
  </si>
  <si>
    <t>Date</t>
  </si>
  <si>
    <r>
      <rPr>
        <b/>
        <sz val="11"/>
        <rFont val="Times New Roman"/>
        <family val="1"/>
      </rPr>
      <t>Hours</t>
    </r>
    <r>
      <rPr>
        <sz val="11"/>
        <rFont val="Times New Roman"/>
        <family val="1"/>
      </rPr>
      <t xml:space="preserve"> </t>
    </r>
    <r>
      <rPr>
        <b/>
        <sz val="11"/>
        <rFont val="Times New Roman"/>
        <family val="1"/>
      </rPr>
      <t>(hr)</t>
    </r>
  </si>
  <si>
    <t>Days</t>
  </si>
  <si>
    <t>Description</t>
  </si>
  <si>
    <t>Observed limited sea-water in pit, POOH 23" Bit 30"-CP Clean-Out Assy T/surface, brk/LD X/Os, 23" bit, bit sub.</t>
  </si>
  <si>
    <t>Category</t>
  </si>
  <si>
    <t>Total Rig Hours</t>
  </si>
  <si>
    <t>Total NPT Hours</t>
  </si>
  <si>
    <t>hrs</t>
  </si>
  <si>
    <t>Overall NPT %</t>
  </si>
  <si>
    <t>Total NPT Cost ($)</t>
  </si>
  <si>
    <t>KPI</t>
  </si>
  <si>
    <t>Month</t>
  </si>
  <si>
    <t>NPT (Hrs)</t>
  </si>
  <si>
    <t>NPT Cost ($)</t>
  </si>
  <si>
    <t>Mechanical</t>
  </si>
  <si>
    <t>Electrical</t>
  </si>
  <si>
    <t>Wellbore</t>
  </si>
  <si>
    <t>BHA / Tools</t>
  </si>
  <si>
    <t>Mud / Solids</t>
  </si>
  <si>
    <t>Cementing</t>
  </si>
  <si>
    <t>Logistics</t>
  </si>
  <si>
    <t>Weather</t>
  </si>
  <si>
    <t>HSE</t>
  </si>
  <si>
    <t>Waiting on Service</t>
  </si>
  <si>
    <t>Human Error</t>
  </si>
  <si>
    <t>Other</t>
  </si>
  <si>
    <t>Responsible Party</t>
  </si>
  <si>
    <t>Operations delayed due to faulty stroke counter while running 23" Rotary BHA; system successfully troubleshot and repaired</t>
  </si>
  <si>
    <t>Investigated 250 psi pressure drop; tripped pipe (POOH/RIH) to inspect for drill string washouts and bit nozzle integrity.</t>
  </si>
  <si>
    <t>Serviced TDS; replaced pipe handler rotating head hydraulic motor, repaired solenoid, and extended cutting chute.</t>
  </si>
  <si>
    <t>Operation delayed due to low mud rheology in the 16" hole section; tripped BHA above casing shoe twice to treat, condition, and circulate drilling mud to specification.</t>
  </si>
  <si>
    <t>Investigated low standpipe pressure (600 psi @ 750 GPM); checked surface lines/strainers, then POOH to surface to inspect BHA. Laid down 16" mud motor assembly and transitioned to a 16" Rotary BHA pending backup equipment.</t>
  </si>
  <si>
    <t>Short-tripped 16" PDC/MM BHA into casing shoe to change out and replace the TDS FH saver sub with an HT55 saver sub</t>
  </si>
  <si>
    <t>Equipment Failure</t>
  </si>
  <si>
    <t>Productive Hours</t>
  </si>
  <si>
    <t>Productive Time (%)</t>
  </si>
  <si>
    <t>SMS Joy</t>
  </si>
  <si>
    <t>Newcross EP</t>
  </si>
  <si>
    <t>OMASUP</t>
  </si>
  <si>
    <t>MultiChase</t>
  </si>
  <si>
    <t>Clinton</t>
  </si>
  <si>
    <t>Marine/Logistics</t>
  </si>
  <si>
    <t>Fredrikov</t>
  </si>
  <si>
    <t>Mega Field</t>
  </si>
  <si>
    <t>Lagrange</t>
  </si>
  <si>
    <t>Geowell</t>
  </si>
  <si>
    <t>TBD</t>
  </si>
  <si>
    <t xml:space="preserve">Worked on SCR gettting assignment, trouble shooting same &amp; fixed the issue-Ok </t>
  </si>
  <si>
    <t>RD Bowel and C-Plate, cut both return lines on 18-5/8" above Rotary, cut false bushing support braces. Torch'd/cut-off flowlines on CP. Meanwhile wait for BOP slings to PU Casing to unset slips.</t>
  </si>
  <si>
    <t>Sum of Hours (hr)</t>
  </si>
  <si>
    <t>NPT Cost 
($)</t>
  </si>
  <si>
    <t>Phase</t>
  </si>
  <si>
    <t>Mitigated heavy backflow, cleaned out wellbore, and successfully engaged and recovered lost 18-5/8" x 20" casing joints using an ITCO spear fishing assembly; completed a 23" bit clean-out run to bottom prior to re-running  casing</t>
  </si>
  <si>
    <t>17-1/2" x  23" Hole Section</t>
  </si>
  <si>
    <t>16" Hole Section</t>
  </si>
  <si>
    <t>Phases</t>
  </si>
  <si>
    <t>Conductor Piling/Cleanout</t>
  </si>
  <si>
    <t>May</t>
  </si>
  <si>
    <t>Jun</t>
  </si>
  <si>
    <t>Sum of NPT Cost 
($)</t>
  </si>
  <si>
    <t>AWOBA NW 5: NPT DRILLING PERFORMANCE DASHBOARD</t>
  </si>
  <si>
    <t>AWOBA NW 5: NPT TRACKING REGISTER</t>
  </si>
  <si>
    <t>Changed out Existing FMS &amp; replaced same with back up FMS -OK.</t>
  </si>
  <si>
    <t>Repaired faulty cement head down valve. Dropped bottom plug. Commenced pumping 12.5 ppg lead slurry. Fixed engine fan belt after unit shutdown.</t>
  </si>
  <si>
    <t>Attempted to pressure test casing againt cement  to 500psi observed &amp; observed leakage from CHH, Well head engineer work on CHH &amp; Re-tightened CHH bolts-OK.</t>
  </si>
  <si>
    <t>12 1/4" Hole Section</t>
  </si>
  <si>
    <t>Encountered a tight spot while pulling out of hole (POOH), performed rig maintenance on the standpipe, IBOP, and TDS, then suffered a pressure spike and lost returns upon running back in hole (RBIH), which required working the stuck string for several hours until pipe movement and full fluid returns were successfully restored before pumping a high-viscosity sweep.</t>
  </si>
  <si>
    <t>Ulla</t>
  </si>
  <si>
    <t>Wellhead</t>
  </si>
  <si>
    <t>TDS hydraulic hose leakage</t>
  </si>
  <si>
    <t>Mud pump swab leakage</t>
  </si>
  <si>
    <t>Attempted to test the bonnet seal, obs'd hydraulic leakage from Annular BOP, troubleshoot fault and obs'd that the plug of the annular BOP drain pulled out fixed the fault. Carried out bonnet test against test plug and annular to 1500psi- ok and POOH test plug.</t>
  </si>
  <si>
    <t>Jul</t>
  </si>
  <si>
    <t>days</t>
  </si>
  <si>
    <t>End date</t>
  </si>
  <si>
    <t>Perforation and Wellbore Cleanout</t>
  </si>
  <si>
    <t xml:space="preserve">Attempted to cont. RIH, Observed faulty brakes/Broken Draw-work caliper pin. Troubleshoot/Fixed same, Ok.    </t>
  </si>
  <si>
    <t>Observed Draw-works Low Clutch-Drive chain faulty, Troubleshoot/Fixed Same while cont. monitor well on TT. Loss Rate: 10BBLs/Hr.</t>
  </si>
  <si>
    <t>Completions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</si>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</sst>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 #,##0.00_-;_-* &quot;-&quot;??_-;_-@_-"/>
    <numFmt numFmtId="165" formatCode="m/d/yy\ h:mm;@"/>
    <numFmt numFmtId="166" formatCode="[$-409]d\-mmm\-yy;@"/>
    <numFmt numFmtId="167" formatCode="_-* #,##0.0_-;\-* #,##0.0_-;_-* &quot;-&quot;??_-;_-@_-"/>
    <numFmt numFmtId="168" formatCode="_-* #,##0_-;\-* #,##0_-;_-* &quot;-&quot;??_-;_-@_-"/>
    <numFmt numFmtId="169" formatCode="[$-409]m/d/yy\ h:mm\ AM/PM;@"/>
  </numFmts>
  <fonts count="13">
    <font>
      <sz val="11"/>
      <color theme="1"/>
      <name val="Aptos Narrow"/>
      <family val="2"/>
      <scheme val="minor"/>
    </font>
    <font>
      <sz val="11"/>
      <color theme="1"/>
      <name val="Aptos Narrow"/>
      <family val="2"/>
      <scheme val="minor"/>
    </font>
    <font>
      <b/>
      <sz val="11"/>
      <color theme="1"/>
      <name val="Aptos Narrow"/>
      <family val="2"/>
      <scheme val="minor"/>
    </font>
    <font>
      <sz val="10"/>
      <color rgb="FF000000"/>
      <name val="Times New Roman"/>
      <family val="1"/>
    </font>
    <font>
      <b/>
      <sz val="11"/>
      <name val="Times New Roman"/>
      <family val="1"/>
    </font>
    <font>
      <sz val="11"/>
      <color rgb="FF000000"/>
      <name val="Times New Roman"/>
      <family val="1"/>
    </font>
    <font>
      <sz val="11"/>
      <name val="Times New Roman"/>
      <family val="1"/>
    </font>
    <font>
      <b/>
      <sz val="11"/>
      <color rgb="FF000000"/>
      <name val="Times New Roman"/>
      <family val="1"/>
    </font>
    <font>
      <b/>
      <sz val="26"/>
      <color theme="8" tint="-0.249977111117893"/>
      <name val="Arial Black"/>
      <family val="2"/>
    </font>
    <font>
      <b/>
      <sz val="16"/>
      <color theme="1"/>
      <name val="Aptos Narrow"/>
      <family val="2"/>
      <scheme val="minor"/>
    </font>
    <font>
      <sz val="11"/>
      <name val="Aptos Narrow"/>
      <family val="2"/>
      <scheme val="minor"/>
    </font>
    <font>
      <b/>
      <sz val="22"/>
      <color theme="1"/>
      <name val="Aptos Narrow"/>
      <family val="2"/>
    </font>
    <font>
      <sz val="8"/>
      <name val="Aptos Narrow"/>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gradientFill type="path" left="1" right="1">
        <stop position="0">
          <color rgb="FFD86ECC"/>
        </stop>
        <stop position="1">
          <color rgb="FF761476"/>
        </stop>
      </gradient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s>
  <cellStyleXfs count="4">
    <xf numFmtId="0" fontId="0" fillId="0" borderId="0"/>
    <xf numFmtId="9" fontId="1" fillId="0" borderId="0" applyFont="0" applyFill="0" applyBorder="0" applyAlignment="0" applyProtection="0"/>
    <xf numFmtId="0" fontId="3" fillId="0" borderId="0"/>
    <xf numFmtId="164" fontId="1" fillId="0" borderId="0" applyFont="0" applyFill="0" applyBorder="0" applyAlignment="0" applyProtection="0"/>
  </cellStyleXfs>
  <cellXfs count="42">
    <xf numFmtId="0" fontId="0" fillId="0" borderId="0" xfId="0"/>
    <xf numFmtId="20" fontId="0" fillId="0" borderId="0" xfId="0" applyNumberFormat="1"/>
    <xf numFmtId="165" fontId="0" fillId="0" borderId="0" xfId="0" applyNumberFormat="1"/>
    <xf numFmtId="0" fontId="0" fillId="0" borderId="0" xfId="0" applyAlignment="1">
      <alignment horizontal="center"/>
    </xf>
    <xf numFmtId="2" fontId="0" fillId="0" borderId="0" xfId="0" applyNumberFormat="1"/>
    <xf numFmtId="17" fontId="0" fillId="0" borderId="0" xfId="0" applyNumberFormat="1"/>
    <xf numFmtId="0" fontId="9" fillId="0" borderId="0" xfId="0" applyFont="1" applyAlignment="1">
      <alignment vertical="center"/>
    </xf>
    <xf numFmtId="0" fontId="0" fillId="0" borderId="0" xfId="0" pivotButton="1"/>
    <xf numFmtId="0" fontId="0" fillId="0" borderId="0" xfId="0" applyAlignment="1">
      <alignment horizontal="left"/>
    </xf>
    <xf numFmtId="0" fontId="2" fillId="0" borderId="0" xfId="0" applyFont="1" applyAlignment="1">
      <alignment vertical="center"/>
    </xf>
    <xf numFmtId="0" fontId="4" fillId="2" borderId="8" xfId="2" applyFont="1" applyFill="1" applyBorder="1" applyAlignment="1">
      <alignment horizontal="center" vertical="center" wrapText="1"/>
    </xf>
    <xf numFmtId="2" fontId="5" fillId="2" borderId="8" xfId="2" applyNumberFormat="1" applyFont="1" applyFill="1" applyBorder="1" applyAlignment="1">
      <alignment horizontal="center" vertical="center" wrapText="1"/>
    </xf>
    <xf numFmtId="2" fontId="7" fillId="2" borderId="8" xfId="2" applyNumberFormat="1" applyFont="1" applyFill="1" applyBorder="1" applyAlignment="1">
      <alignment horizontal="center" vertical="center" wrapText="1"/>
    </xf>
    <xf numFmtId="2" fontId="7" fillId="2" borderId="5" xfId="2" applyNumberFormat="1" applyFont="1" applyFill="1" applyBorder="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xf>
    <xf numFmtId="0" fontId="0" fillId="0" borderId="2" xfId="0" applyBorder="1" applyAlignment="1">
      <alignment horizontal="center" vertical="center" wrapText="1"/>
    </xf>
    <xf numFmtId="2" fontId="0" fillId="0" borderId="2" xfId="0" applyNumberForma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64" fontId="0" fillId="0" borderId="0" xfId="3" applyFont="1"/>
    <xf numFmtId="39" fontId="0" fillId="0" borderId="1" xfId="3" applyNumberFormat="1" applyFont="1" applyBorder="1" applyAlignment="1">
      <alignment horizontal="center" vertical="center"/>
    </xf>
    <xf numFmtId="39" fontId="10" fillId="0" borderId="1" xfId="3" applyNumberFormat="1" applyFont="1" applyBorder="1" applyAlignment="1">
      <alignment horizontal="center" vertical="center"/>
    </xf>
    <xf numFmtId="39" fontId="0" fillId="0" borderId="0" xfId="0" applyNumberFormat="1"/>
    <xf numFmtId="0" fontId="0" fillId="0" borderId="10" xfId="0" applyBorder="1" applyAlignment="1">
      <alignment horizontal="center" vertical="center" wrapText="1"/>
    </xf>
    <xf numFmtId="2" fontId="0" fillId="0" borderId="10" xfId="0" applyNumberFormat="1" applyBorder="1" applyAlignment="1">
      <alignment horizontal="center" vertical="center"/>
    </xf>
    <xf numFmtId="39" fontId="0" fillId="0" borderId="10" xfId="3" applyNumberFormat="1" applyFont="1"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166" fontId="0" fillId="0" borderId="0" xfId="0" applyNumberFormat="1"/>
    <xf numFmtId="166" fontId="4" fillId="2" borderId="6" xfId="2" applyNumberFormat="1" applyFont="1" applyFill="1" applyBorder="1" applyAlignment="1">
      <alignment horizontal="center" vertical="center" wrapText="1"/>
    </xf>
    <xf numFmtId="166" fontId="0" fillId="0" borderId="3" xfId="0" applyNumberFormat="1" applyBorder="1" applyAlignment="1">
      <alignment horizontal="center" vertical="center"/>
    </xf>
    <xf numFmtId="166" fontId="0" fillId="0" borderId="4" xfId="0" applyNumberFormat="1" applyBorder="1" applyAlignment="1">
      <alignment horizontal="center" vertical="center"/>
    </xf>
    <xf numFmtId="166" fontId="0" fillId="0" borderId="0" xfId="0" applyNumberFormat="1" applyAlignment="1">
      <alignment horizontal="center" vertical="center"/>
    </xf>
    <xf numFmtId="167" fontId="0" fillId="0" borderId="0" xfId="3" applyNumberFormat="1" applyFont="1"/>
    <xf numFmtId="168" fontId="0" fillId="0" borderId="0" xfId="3" applyNumberFormat="1" applyFont="1"/>
    <xf numFmtId="10" fontId="0" fillId="0" borderId="0" xfId="1" applyNumberFormat="1" applyFont="1"/>
    <xf numFmtId="10" fontId="0" fillId="0" borderId="0" xfId="0" applyNumberFormat="1"/>
    <xf numFmtId="169" fontId="0" fillId="0" borderId="0" xfId="0" applyNumberFormat="1"/>
    <xf numFmtId="0" fontId="11" fillId="3" borderId="7" xfId="0" applyFont="1" applyFill="1" applyBorder="1" applyAlignment="1">
      <alignment horizontal="center"/>
    </xf>
    <xf numFmtId="0" fontId="8" fillId="4" borderId="0" xfId="0" applyFont="1" applyFill="1" applyAlignment="1">
      <alignment horizontal="center" vertical="center"/>
    </xf>
  </cellXfs>
  <cellStyles count="4">
    <cellStyle name="Comma" xfId="3" builtinId="3"/>
    <cellStyle name="Normal" xfId="0" builtinId="0"/>
    <cellStyle name="Normal 2" xfId="2"/>
    <cellStyle name="Percent" xfId="1" builtinId="5"/>
  </cellStyles>
  <dxfs count="14">
    <dxf>
      <numFmt numFmtId="22" formatCode="mmm\-yy"/>
    </dxf>
    <dxf>
      <alignment horizontal="center" vertical="center" textRotation="0" indent="0" justifyLastLine="0" shrinkToFit="0" readingOrder="0"/>
      <border diagonalUp="0" diagonalDown="0" outline="0">
        <left style="thin">
          <color auto="1"/>
        </left>
        <right/>
        <top style="thin">
          <color auto="1"/>
        </top>
        <bottom style="thin">
          <color auto="1"/>
        </bottom>
      </border>
    </dxf>
    <dxf>
      <alignment horizontal="center" vertical="center" textRotation="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7" formatCode="#,##0.00_);\(#,##0.0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border>
    </dxf>
    <dxf>
      <numFmt numFmtId="2" formatCode="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numFmt numFmtId="2" formatCode="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numFmt numFmtId="166" formatCode="[$-409]d\-mmm\-yy;@"/>
      <alignment horizontal="center" vertical="center" textRotation="0" indent="0" justifyLastLine="0" shrinkToFit="0" readingOrder="0"/>
      <border diagonalUp="0" diagonalDown="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numFmt numFmtId="2" formatCode="0.00"/>
      <alignment horizontal="center"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rgb="FF000000"/>
        <name val="Times New Roman"/>
        <scheme val="none"/>
      </font>
      <numFmt numFmtId="2" formatCode="0.00"/>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761476"/>
      <color rgb="FFD86ECC"/>
      <color rgb="FF8E17DF"/>
      <color rgb="FF782145"/>
      <color rgb="FFF5DBF3"/>
      <color rgb="FF6ED87A"/>
      <color rgb="FFE8AA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What operational issues are driving most lost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782145"/>
            </a:solidFill>
            <a:ln>
              <a:noFill/>
            </a:ln>
            <a:effectLst/>
          </c:spPr>
          <c:invertIfNegative val="0"/>
          <c:dLbls>
            <c:spPr>
              <a:solidFill>
                <a:srgbClr val="F5DBF3"/>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Metrics!$P$2:$P$7</c:f>
              <c:strCache>
                <c:ptCount val="6"/>
                <c:pt idx="0">
                  <c:v>Human Error</c:v>
                </c:pt>
                <c:pt idx="1">
                  <c:v>Equipment Failure</c:v>
                </c:pt>
                <c:pt idx="2">
                  <c:v>Mechanical</c:v>
                </c:pt>
                <c:pt idx="3">
                  <c:v>Mud / Solids</c:v>
                </c:pt>
                <c:pt idx="4">
                  <c:v>Wellhead</c:v>
                </c:pt>
                <c:pt idx="5">
                  <c:v>Cementing</c:v>
                </c:pt>
              </c:strCache>
            </c:strRef>
          </c:cat>
          <c:val>
            <c:numRef>
              <c:f>Metrics!$Q$2:$Q$7</c:f>
              <c:numCache>
                <c:formatCode>General</c:formatCode>
                <c:ptCount val="6"/>
                <c:pt idx="0">
                  <c:v>140</c:v>
                </c:pt>
                <c:pt idx="1">
                  <c:v>132</c:v>
                </c:pt>
                <c:pt idx="2">
                  <c:v>70.5</c:v>
                </c:pt>
                <c:pt idx="3">
                  <c:v>11</c:v>
                </c:pt>
                <c:pt idx="4">
                  <c:v>4</c:v>
                </c:pt>
                <c:pt idx="5">
                  <c:v>1.5</c:v>
                </c:pt>
              </c:numCache>
            </c:numRef>
          </c:val>
          <c:extLst>
            <c:ext xmlns:c16="http://schemas.microsoft.com/office/drawing/2014/chart" uri="{C3380CC4-5D6E-409C-BE32-E72D297353CC}">
              <c16:uniqueId val="{00000000-8395-43ED-831D-BB6DA36C17A3}"/>
            </c:ext>
          </c:extLst>
        </c:ser>
        <c:dLbls>
          <c:showLegendKey val="0"/>
          <c:showVal val="0"/>
          <c:showCatName val="0"/>
          <c:showSerName val="0"/>
          <c:showPercent val="0"/>
          <c:showBubbleSize val="0"/>
        </c:dLbls>
        <c:gapWidth val="120"/>
        <c:axId val="807375823"/>
        <c:axId val="807373423"/>
      </c:barChart>
      <c:catAx>
        <c:axId val="807375823"/>
        <c:scaling>
          <c:orientation val="minMax"/>
        </c:scaling>
        <c:delete val="0"/>
        <c:axPos val="l"/>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807373423"/>
        <c:crosses val="autoZero"/>
        <c:auto val="1"/>
        <c:lblAlgn val="ctr"/>
        <c:lblOffset val="100"/>
        <c:noMultiLvlLbl val="0"/>
      </c:catAx>
      <c:valAx>
        <c:axId val="807373423"/>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(hr)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80737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How are our NPT hours trending month-over-month?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0"/>
          <c:order val="0"/>
          <c:spPr>
            <a:solidFill>
              <a:srgbClr val="761476">
                <a:alpha val="49000"/>
              </a:srgbClr>
            </a:solidFill>
            <a:ln>
              <a:solidFill>
                <a:srgbClr val="761476"/>
              </a:solidFill>
            </a:ln>
            <a:effectLst/>
          </c:spPr>
          <c:dLbls>
            <c:delete val="1"/>
          </c:dLbls>
          <c:cat>
            <c:strRef>
              <c:f>Metrics!$K$10:$K$12</c:f>
              <c:strCache>
                <c:ptCount val="3"/>
                <c:pt idx="0">
                  <c:v>May</c:v>
                </c:pt>
                <c:pt idx="1">
                  <c:v>Jun</c:v>
                </c:pt>
                <c:pt idx="2">
                  <c:v>Jul</c:v>
                </c:pt>
              </c:strCache>
            </c:strRef>
          </c:cat>
          <c:val>
            <c:numRef>
              <c:f>Metrics!$L$10:$L$12</c:f>
              <c:numCache>
                <c:formatCode>General</c:formatCode>
                <c:ptCount val="3"/>
                <c:pt idx="0">
                  <c:v>216</c:v>
                </c:pt>
                <c:pt idx="1">
                  <c:v>131.5</c:v>
                </c:pt>
                <c:pt idx="2">
                  <c:v>11.5</c:v>
                </c:pt>
              </c:numCache>
            </c:numRef>
          </c:val>
          <c:extLst>
            <c:ext xmlns:c16="http://schemas.microsoft.com/office/drawing/2014/chart" uri="{C3380CC4-5D6E-409C-BE32-E72D297353CC}">
              <c16:uniqueId val="{00000000-4BE7-4BAF-8BD2-B333AF78234F}"/>
            </c:ext>
          </c:extLst>
        </c:ser>
        <c:dLbls>
          <c:showLegendKey val="0"/>
          <c:showVal val="1"/>
          <c:showCatName val="0"/>
          <c:showSerName val="0"/>
          <c:showPercent val="0"/>
          <c:showBubbleSize val="0"/>
        </c:dLbls>
        <c:axId val="1461893824"/>
        <c:axId val="1461894304"/>
      </c:areaChart>
      <c:lineChart>
        <c:grouping val="standard"/>
        <c:varyColors val="0"/>
        <c:ser>
          <c:idx val="1"/>
          <c:order val="1"/>
          <c:tx>
            <c:strRef>
              <c:f>Metrics!$I$9</c:f>
              <c:strCache>
                <c:ptCount val="1"/>
                <c:pt idx="0">
                  <c:v>Sum of Hours (hr)</c:v>
                </c:pt>
              </c:strCache>
            </c:strRef>
          </c:tx>
          <c:spPr>
            <a:ln w="28575" cap="rnd">
              <a:solidFill>
                <a:srgbClr val="761476"/>
              </a:solidFill>
              <a:round/>
            </a:ln>
            <a:effectLst/>
          </c:spPr>
          <c:marker>
            <c:symbol val="circle"/>
            <c:size val="5"/>
            <c:spPr>
              <a:solidFill>
                <a:srgbClr val="761476"/>
              </a:solidFill>
              <a:ln w="9525">
                <a:solidFill>
                  <a:srgbClr val="761476"/>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Metrics!$K$10:$K$12</c:f>
              <c:strCache>
                <c:ptCount val="3"/>
                <c:pt idx="0">
                  <c:v>May</c:v>
                </c:pt>
                <c:pt idx="1">
                  <c:v>Jun</c:v>
                </c:pt>
                <c:pt idx="2">
                  <c:v>Jul</c:v>
                </c:pt>
              </c:strCache>
            </c:strRef>
          </c:cat>
          <c:val>
            <c:numRef>
              <c:f>Metrics!$L$10:$L$12</c:f>
              <c:numCache>
                <c:formatCode>General</c:formatCode>
                <c:ptCount val="3"/>
                <c:pt idx="0">
                  <c:v>216</c:v>
                </c:pt>
                <c:pt idx="1">
                  <c:v>131.5</c:v>
                </c:pt>
                <c:pt idx="2">
                  <c:v>11.5</c:v>
                </c:pt>
              </c:numCache>
            </c:numRef>
          </c:val>
          <c:smooth val="0"/>
          <c:extLst>
            <c:ext xmlns:c16="http://schemas.microsoft.com/office/drawing/2014/chart" uri="{C3380CC4-5D6E-409C-BE32-E72D297353CC}">
              <c16:uniqueId val="{00000002-4BE7-4BAF-8BD2-B333AF78234F}"/>
            </c:ext>
          </c:extLst>
        </c:ser>
        <c:dLbls>
          <c:showLegendKey val="0"/>
          <c:showVal val="0"/>
          <c:showCatName val="0"/>
          <c:showSerName val="0"/>
          <c:showPercent val="0"/>
          <c:showBubbleSize val="0"/>
        </c:dLbls>
        <c:marker val="1"/>
        <c:smooth val="0"/>
        <c:axId val="1461893824"/>
        <c:axId val="1461894304"/>
      </c:lineChart>
      <c:catAx>
        <c:axId val="1461893824"/>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61894304"/>
        <c:crosses val="autoZero"/>
        <c:auto val="1"/>
        <c:lblAlgn val="ctr"/>
        <c:lblOffset val="100"/>
        <c:noMultiLvlLbl val="1"/>
      </c:catAx>
      <c:valAx>
        <c:axId val="1461894304"/>
        <c:scaling>
          <c:orientation val="minMax"/>
        </c:scaling>
        <c:delete val="1"/>
        <c:axPos val="l"/>
        <c:numFmt formatCode="General" sourceLinked="1"/>
        <c:majorTickMark val="none"/>
        <c:minorTickMark val="none"/>
        <c:tickLblPos val="nextTo"/>
        <c:crossAx val="146189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What is the financial impact of these NPTs?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45625546806648"/>
          <c:y val="0.11599373892666208"/>
          <c:w val="0.84332152230971125"/>
          <c:h val="0.78160667761795322"/>
        </c:manualLayout>
      </c:layout>
      <c:barChart>
        <c:barDir val="col"/>
        <c:grouping val="clustered"/>
        <c:varyColors val="0"/>
        <c:ser>
          <c:idx val="0"/>
          <c:order val="0"/>
          <c:tx>
            <c:strRef>
              <c:f>Metrics!$J$1</c:f>
              <c:strCache>
                <c:ptCount val="1"/>
                <c:pt idx="0">
                  <c:v>NPT Cost ($)</c:v>
                </c:pt>
              </c:strCache>
            </c:strRef>
          </c:tx>
          <c:spPr>
            <a:solidFill>
              <a:srgbClr val="782145"/>
            </a:solidFill>
            <a:ln>
              <a:noFill/>
            </a:ln>
            <a:effectLst/>
          </c:spPr>
          <c:invertIfNegative val="0"/>
          <c:dLbls>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Metrics!$K$10:$K$12</c:f>
              <c:strCache>
                <c:ptCount val="3"/>
                <c:pt idx="0">
                  <c:v>May</c:v>
                </c:pt>
                <c:pt idx="1">
                  <c:v>Jun</c:v>
                </c:pt>
                <c:pt idx="2">
                  <c:v>Jul</c:v>
                </c:pt>
              </c:strCache>
            </c:strRef>
          </c:cat>
          <c:val>
            <c:numRef>
              <c:f>Metrics!$M$10:$M$12</c:f>
              <c:numCache>
                <c:formatCode>General</c:formatCode>
                <c:ptCount val="3"/>
                <c:pt idx="0" formatCode="0.00">
                  <c:v>2137405.5066475002</c:v>
                </c:pt>
                <c:pt idx="1">
                  <c:v>1621039.6914991667</c:v>
                </c:pt>
                <c:pt idx="2">
                  <c:v>136565.16015228152</c:v>
                </c:pt>
              </c:numCache>
            </c:numRef>
          </c:val>
          <c:extLst>
            <c:ext xmlns:c16="http://schemas.microsoft.com/office/drawing/2014/chart" uri="{C3380CC4-5D6E-409C-BE32-E72D297353CC}">
              <c16:uniqueId val="{00000000-9B3E-4F0A-A995-5B345B613E2A}"/>
            </c:ext>
          </c:extLst>
        </c:ser>
        <c:dLbls>
          <c:dLblPos val="outEnd"/>
          <c:showLegendKey val="0"/>
          <c:showVal val="1"/>
          <c:showCatName val="0"/>
          <c:showSerName val="0"/>
          <c:showPercent val="0"/>
          <c:showBubbleSize val="0"/>
        </c:dLbls>
        <c:gapWidth val="99"/>
        <c:overlap val="-27"/>
        <c:axId val="1461810784"/>
        <c:axId val="1461799264"/>
      </c:barChart>
      <c:catAx>
        <c:axId val="1461810784"/>
        <c:scaling>
          <c:orientation val="minMax"/>
        </c:scaling>
        <c:delete val="0"/>
        <c:axPos val="b"/>
        <c:numFmt formatCode="General" sourceLinked="1"/>
        <c:majorTickMark val="out"/>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61799264"/>
        <c:crosses val="autoZero"/>
        <c:auto val="1"/>
        <c:lblAlgn val="ctr"/>
        <c:lblOffset val="100"/>
        <c:noMultiLvlLbl val="0"/>
      </c:catAx>
      <c:valAx>
        <c:axId val="1461799264"/>
        <c:scaling>
          <c:orientation val="minMax"/>
        </c:scaling>
        <c:delete val="0"/>
        <c:axPos val="l"/>
        <c:numFmt formatCode="0.00" sourceLinked="1"/>
        <c:majorTickMark val="none"/>
        <c:minorTickMark val="none"/>
        <c:tickLblPos val="nextTo"/>
        <c:spPr>
          <a:noFill/>
          <a:ln>
            <a:solidFill>
              <a:schemeClr val="tx1">
                <a:lumMod val="75000"/>
                <a:lumOff val="2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1810784"/>
        <c:crosses val="autoZero"/>
        <c:crossBetween val="between"/>
        <c:dispUnits>
          <c:builtInUnit val="millions"/>
          <c:dispUnitsLbl>
            <c:layout>
              <c:manualLayout>
                <c:xMode val="edge"/>
                <c:yMode val="edge"/>
                <c:x val="0.05"/>
                <c:y val="9.7638888888888914E-2"/>
              </c:manualLayout>
            </c:layout>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Narrow" panose="020B0606020202030204" pitchFamily="34" charset="0"/>
              </a:rPr>
              <a:t>What hole section/phases</a:t>
            </a:r>
            <a:r>
              <a:rPr lang="en-US" sz="1400" b="1" baseline="0">
                <a:latin typeface="Arial Narrow" panose="020B0606020202030204" pitchFamily="34" charset="0"/>
              </a:rPr>
              <a:t> suffered the most delays?</a:t>
            </a:r>
            <a:endParaRPr lang="en-US" sz="1400" b="1">
              <a:latin typeface="Arial Narrow" panose="020B060602020203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902074234678342"/>
          <c:y val="0.14704161370102434"/>
          <c:w val="0.62348645706277883"/>
          <c:h val="0.81408313855304337"/>
        </c:manualLayout>
      </c:layout>
      <c:barChart>
        <c:barDir val="bar"/>
        <c:grouping val="clustered"/>
        <c:varyColors val="0"/>
        <c:ser>
          <c:idx val="0"/>
          <c:order val="0"/>
          <c:spPr>
            <a:solidFill>
              <a:srgbClr val="761476"/>
            </a:solidFill>
            <a:ln>
              <a:noFill/>
            </a:ln>
            <a:effectLst/>
          </c:spPr>
          <c:invertIfNegative val="0"/>
          <c:dLbls>
            <c:spPr>
              <a:solidFill>
                <a:srgbClr val="F5DBF3"/>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Metrics!$AB$2:$AB$7</c:f>
              <c:strCache>
                <c:ptCount val="6"/>
                <c:pt idx="0">
                  <c:v>Conductor Piling/Cleanout</c:v>
                </c:pt>
                <c:pt idx="1">
                  <c:v>17-1/2" x  23" Hole Section</c:v>
                </c:pt>
                <c:pt idx="2">
                  <c:v>16" Hole Section</c:v>
                </c:pt>
                <c:pt idx="3">
                  <c:v>12 1/4" Hole Section</c:v>
                </c:pt>
                <c:pt idx="4">
                  <c:v>Perforation and Wellbore Cleanout</c:v>
                </c:pt>
                <c:pt idx="5">
                  <c:v>Completions</c:v>
                </c:pt>
              </c:strCache>
            </c:strRef>
          </c:cat>
          <c:val>
            <c:numRef>
              <c:f>Metrics!$AC$2:$AC$7</c:f>
              <c:numCache>
                <c:formatCode>General</c:formatCode>
                <c:ptCount val="6"/>
                <c:pt idx="0">
                  <c:v>2.5</c:v>
                </c:pt>
                <c:pt idx="1">
                  <c:v>188.5</c:v>
                </c:pt>
                <c:pt idx="2">
                  <c:v>44</c:v>
                </c:pt>
                <c:pt idx="3">
                  <c:v>119.5</c:v>
                </c:pt>
                <c:pt idx="4">
                  <c:v>1</c:v>
                </c:pt>
                <c:pt idx="5">
                  <c:v>3.5</c:v>
                </c:pt>
              </c:numCache>
            </c:numRef>
          </c:val>
          <c:extLst>
            <c:ext xmlns:c16="http://schemas.microsoft.com/office/drawing/2014/chart" uri="{C3380CC4-5D6E-409C-BE32-E72D297353CC}">
              <c16:uniqueId val="{00000000-C40B-4DAC-9EFB-96DAEEAF7E56}"/>
            </c:ext>
          </c:extLst>
        </c:ser>
        <c:dLbls>
          <c:dLblPos val="outEnd"/>
          <c:showLegendKey val="0"/>
          <c:showVal val="1"/>
          <c:showCatName val="0"/>
          <c:showSerName val="0"/>
          <c:showPercent val="0"/>
          <c:showBubbleSize val="0"/>
        </c:dLbls>
        <c:gapWidth val="62"/>
        <c:axId val="1505795680"/>
        <c:axId val="1505819680"/>
      </c:barChart>
      <c:catAx>
        <c:axId val="1505795680"/>
        <c:scaling>
          <c:orientation val="minMax"/>
        </c:scaling>
        <c:delete val="0"/>
        <c:axPos val="l"/>
        <c:numFmt formatCode="General" sourceLinked="1"/>
        <c:majorTickMark val="none"/>
        <c:minorTickMark val="none"/>
        <c:tickLblPos val="nextTo"/>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5819680"/>
        <c:crosses val="autoZero"/>
        <c:auto val="1"/>
        <c:lblAlgn val="ctr"/>
        <c:lblOffset val="100"/>
        <c:noMultiLvlLbl val="0"/>
      </c:catAx>
      <c:valAx>
        <c:axId val="15058196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Hours (hr)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579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Who contributed to NPT?</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Who contributed to NPT?</a:t>
          </a:r>
        </a:p>
      </cx:txPr>
    </cx:title>
    <cx:plotArea>
      <cx:plotAreaRegion>
        <cx:series layoutId="treemap" uniqueId="{0943F5EA-66E1-48DB-AC78-45BD7061E7B4}">
          <cx:dataPt idx="1">
            <cx:spPr>
              <a:solidFill>
                <a:srgbClr val="D86ECC"/>
              </a:solidFill>
            </cx:spPr>
          </cx:dataPt>
          <cx:dataPt idx="2">
            <cx:spPr>
              <a:solidFill>
                <a:srgbClr val="8E17DF"/>
              </a:solidFill>
            </cx:spPr>
          </cx:dataPt>
          <cx:dataPt idx="3">
            <cx:spPr>
              <a:solidFill>
                <a:srgbClr val="761476"/>
              </a:solidFill>
            </cx:spPr>
          </cx:dataPt>
          <cx:dataLabels pos="inEnd">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116268</xdr:colOff>
      <xdr:row>5</xdr:row>
      <xdr:rowOff>295140</xdr:rowOff>
    </xdr:from>
    <xdr:to>
      <xdr:col>18</xdr:col>
      <xdr:colOff>706550</xdr:colOff>
      <xdr:row>51</xdr:row>
      <xdr:rowOff>26831</xdr:rowOff>
    </xdr:to>
    <xdr:sp macro="" textlink="">
      <xdr:nvSpPr>
        <xdr:cNvPr id="13" name="Rectangle: Rounded Corners 12">
          <a:extLst>
            <a:ext uri="{FF2B5EF4-FFF2-40B4-BE49-F238E27FC236}">
              <a16:creationId xmlns:a16="http://schemas.microsoft.com/office/drawing/2014/main" id="{B39222B5-A1E9-9BF4-7ACB-DECCEDBF35BD}"/>
            </a:ext>
          </a:extLst>
        </xdr:cNvPr>
        <xdr:cNvSpPr/>
      </xdr:nvSpPr>
      <xdr:spPr>
        <a:xfrm>
          <a:off x="724054" y="1655854"/>
          <a:ext cx="13653139" cy="8267906"/>
        </a:xfrm>
        <a:prstGeom prst="roundRect">
          <a:avLst>
            <a:gd name="adj" fmla="val 8226"/>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680357</xdr:colOff>
      <xdr:row>31</xdr:row>
      <xdr:rowOff>172357</xdr:rowOff>
    </xdr:from>
    <xdr:to>
      <xdr:col>13</xdr:col>
      <xdr:colOff>340414</xdr:colOff>
      <xdr:row>49</xdr:row>
      <xdr:rowOff>45973</xdr:rowOff>
    </xdr:to>
    <xdr:graphicFrame macro="">
      <xdr:nvGraphicFramePr>
        <xdr:cNvPr id="2" name="Chart 1">
          <a:extLst>
            <a:ext uri="{FF2B5EF4-FFF2-40B4-BE49-F238E27FC236}">
              <a16:creationId xmlns:a16="http://schemas.microsoft.com/office/drawing/2014/main" id="{8887FFDB-183D-46F4-9197-1AF65485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699566</xdr:colOff>
      <xdr:row>12</xdr:row>
      <xdr:rowOff>149411</xdr:rowOff>
    </xdr:from>
    <xdr:to>
      <xdr:col>13</xdr:col>
      <xdr:colOff>308429</xdr:colOff>
      <xdr:row>29</xdr:row>
      <xdr:rowOff>174852</xdr:rowOff>
    </xdr:to>
    <xdr:graphicFrame macro="">
      <xdr:nvGraphicFramePr>
        <xdr:cNvPr id="6" name="Chart 5">
          <a:extLst>
            <a:ext uri="{FF2B5EF4-FFF2-40B4-BE49-F238E27FC236}">
              <a16:creationId xmlns:a16="http://schemas.microsoft.com/office/drawing/2014/main" id="{407635D9-7F5A-411B-AB88-A691E7061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610880</xdr:colOff>
      <xdr:row>12</xdr:row>
      <xdr:rowOff>163286</xdr:rowOff>
    </xdr:from>
    <xdr:to>
      <xdr:col>18</xdr:col>
      <xdr:colOff>571500</xdr:colOff>
      <xdr:row>29</xdr:row>
      <xdr:rowOff>178788</xdr:rowOff>
    </xdr:to>
    <xdr:graphicFrame macro="">
      <xdr:nvGraphicFramePr>
        <xdr:cNvPr id="8" name="Chart 7">
          <a:extLst>
            <a:ext uri="{FF2B5EF4-FFF2-40B4-BE49-F238E27FC236}">
              <a16:creationId xmlns:a16="http://schemas.microsoft.com/office/drawing/2014/main" id="{C637A31F-2DE0-401D-9E0E-3FDB4E97D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616857</xdr:colOff>
      <xdr:row>31</xdr:row>
      <xdr:rowOff>154214</xdr:rowOff>
    </xdr:from>
    <xdr:to>
      <xdr:col>18</xdr:col>
      <xdr:colOff>478176</xdr:colOff>
      <xdr:row>49</xdr:row>
      <xdr:rowOff>39914</xdr:rowOff>
    </xdr:to>
    <xdr:graphicFrame macro="">
      <xdr:nvGraphicFramePr>
        <xdr:cNvPr id="10" name="Chart 9">
          <a:extLst>
            <a:ext uri="{FF2B5EF4-FFF2-40B4-BE49-F238E27FC236}">
              <a16:creationId xmlns:a16="http://schemas.microsoft.com/office/drawing/2014/main" id="{D5EC40A4-F870-4B6C-A490-0886CBAE1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402464</xdr:colOff>
      <xdr:row>2</xdr:row>
      <xdr:rowOff>250422</xdr:rowOff>
    </xdr:from>
    <xdr:to>
      <xdr:col>11</xdr:col>
      <xdr:colOff>187816</xdr:colOff>
      <xdr:row>4</xdr:row>
      <xdr:rowOff>152042</xdr:rowOff>
    </xdr:to>
    <xdr:sp macro="" textlink="">
      <xdr:nvSpPr>
        <xdr:cNvPr id="14" name="TextBox 13">
          <a:extLst>
            <a:ext uri="{FF2B5EF4-FFF2-40B4-BE49-F238E27FC236}">
              <a16:creationId xmlns:a16="http://schemas.microsoft.com/office/drawing/2014/main" id="{E4081626-4396-EA53-1E06-006281654BA2}"/>
            </a:ext>
          </a:extLst>
        </xdr:cNvPr>
        <xdr:cNvSpPr txBox="1"/>
      </xdr:nvSpPr>
      <xdr:spPr>
        <a:xfrm>
          <a:off x="1010633" y="617112"/>
          <a:ext cx="7110211" cy="697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Candara" panose="020E0502030303020204" pitchFamily="34" charset="0"/>
            </a:rPr>
            <a:t>AWOBA NW-5 NPT ANALYSIS |</a:t>
          </a:r>
          <a:r>
            <a:rPr lang="en-US" sz="2800" b="1" baseline="0">
              <a:solidFill>
                <a:schemeClr val="bg1"/>
              </a:solidFill>
              <a:latin typeface="Candara" panose="020E0502030303020204" pitchFamily="34" charset="0"/>
            </a:rPr>
            <a:t> Overview</a:t>
          </a:r>
          <a:endParaRPr lang="en-US" sz="2800" b="1">
            <a:solidFill>
              <a:schemeClr val="bg1"/>
            </a:solidFill>
            <a:latin typeface="Candara" panose="020E0502030303020204" pitchFamily="34" charset="0"/>
          </a:endParaRPr>
        </a:p>
      </xdr:txBody>
    </xdr:sp>
    <xdr:clientData/>
  </xdr:twoCellAnchor>
  <xdr:twoCellAnchor editAs="oneCell">
    <xdr:from>
      <xdr:col>14</xdr:col>
      <xdr:colOff>169929</xdr:colOff>
      <xdr:row>2</xdr:row>
      <xdr:rowOff>2404</xdr:rowOff>
    </xdr:from>
    <xdr:to>
      <xdr:col>18</xdr:col>
      <xdr:colOff>64668</xdr:colOff>
      <xdr:row>5</xdr:row>
      <xdr:rowOff>207596</xdr:rowOff>
    </xdr:to>
    <mc:AlternateContent xmlns:mc="http://schemas.openxmlformats.org/markup-compatibility/2006" xmlns:a14="http://schemas.microsoft.com/office/drawing/2010/main">
      <mc:Choice Requires="a14">
        <xdr:graphicFrame macro="">
          <xdr:nvGraphicFramePr>
            <xdr:cNvPr id="15" name="Responsible Party 1">
              <a:extLst>
                <a:ext uri="{FF2B5EF4-FFF2-40B4-BE49-F238E27FC236}">
                  <a16:creationId xmlns:a16="http://schemas.microsoft.com/office/drawing/2014/main" id="{C7C24FB9-AFFF-4607-AE6E-94B524D56CA9}"/>
                </a:ext>
              </a:extLst>
            </xdr:cNvPr>
            <xdr:cNvGraphicFramePr/>
          </xdr:nvGraphicFramePr>
          <xdr:xfrm>
            <a:off x="0" y="0"/>
            <a:ext cx="0" cy="0"/>
          </xdr:xfrm>
          <a:graphic>
            <a:graphicData uri="http://schemas.microsoft.com/office/drawing/2010/slicer">
              <sle:slicer xmlns:sle="http://schemas.microsoft.com/office/drawing/2010/slicer" name="Responsible Party 1"/>
            </a:graphicData>
          </a:graphic>
        </xdr:graphicFrame>
      </mc:Choice>
      <mc:Fallback xmlns="">
        <xdr:sp macro="" textlink="">
          <xdr:nvSpPr>
            <xdr:cNvPr id="0" name=""/>
            <xdr:cNvSpPr>
              <a:spLocks noTextEdit="1"/>
            </xdr:cNvSpPr>
          </xdr:nvSpPr>
          <xdr:spPr>
            <a:xfrm>
              <a:off x="10562762" y="362237"/>
              <a:ext cx="3154406" cy="12000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435427</xdr:colOff>
      <xdr:row>6</xdr:row>
      <xdr:rowOff>116128</xdr:rowOff>
    </xdr:from>
    <xdr:to>
      <xdr:col>5</xdr:col>
      <xdr:colOff>469900</xdr:colOff>
      <xdr:row>10</xdr:row>
      <xdr:rowOff>172368</xdr:rowOff>
    </xdr:to>
    <xdr:grpSp>
      <xdr:nvGrpSpPr>
        <xdr:cNvPr id="69" name="Group 68">
          <a:extLst>
            <a:ext uri="{FF2B5EF4-FFF2-40B4-BE49-F238E27FC236}">
              <a16:creationId xmlns:a16="http://schemas.microsoft.com/office/drawing/2014/main" id="{2733E4EC-9A2A-3BB3-2BE8-76860BA2C418}"/>
            </a:ext>
          </a:extLst>
        </xdr:cNvPr>
        <xdr:cNvGrpSpPr/>
      </xdr:nvGrpSpPr>
      <xdr:grpSpPr>
        <a:xfrm>
          <a:off x="1105987" y="1838248"/>
          <a:ext cx="2686233" cy="787760"/>
          <a:chOff x="1043213" y="1912260"/>
          <a:chExt cx="2483758" cy="781954"/>
        </a:xfrm>
      </xdr:grpSpPr>
      <xdr:sp macro="" textlink="">
        <xdr:nvSpPr>
          <xdr:cNvPr id="16" name="TextBox 15">
            <a:extLst>
              <a:ext uri="{FF2B5EF4-FFF2-40B4-BE49-F238E27FC236}">
                <a16:creationId xmlns:a16="http://schemas.microsoft.com/office/drawing/2014/main" id="{56F59A09-93F1-5F66-80C3-6AF9FC43DC80}"/>
              </a:ext>
            </a:extLst>
          </xdr:cNvPr>
          <xdr:cNvSpPr txBox="1"/>
        </xdr:nvSpPr>
        <xdr:spPr>
          <a:xfrm>
            <a:off x="1213758" y="1952173"/>
            <a:ext cx="1598385" cy="28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Rig Time</a:t>
            </a:r>
          </a:p>
        </xdr:txBody>
      </xdr:sp>
      <xdr:sp macro="" textlink="Metrics!C3">
        <xdr:nvSpPr>
          <xdr:cNvPr id="17" name="TextBox 16">
            <a:extLst>
              <a:ext uri="{FF2B5EF4-FFF2-40B4-BE49-F238E27FC236}">
                <a16:creationId xmlns:a16="http://schemas.microsoft.com/office/drawing/2014/main" id="{6AC12B56-5E5A-6BB8-DB51-C119DDD1E0FE}"/>
              </a:ext>
            </a:extLst>
          </xdr:cNvPr>
          <xdr:cNvSpPr txBox="1"/>
        </xdr:nvSpPr>
        <xdr:spPr>
          <a:xfrm>
            <a:off x="1239157" y="2202544"/>
            <a:ext cx="1164770"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D6A284-4A4A-4C51-A00D-15209841A0FD}" type="TxLink">
              <a:rPr lang="en-US" sz="2000" b="0" i="0" u="none" strike="noStrike">
                <a:solidFill>
                  <a:srgbClr val="000000"/>
                </a:solidFill>
                <a:latin typeface="Bahnschrift" panose="020B0502040204020203" pitchFamily="34" charset="0"/>
              </a:rPr>
              <a:pPr/>
              <a:t> 2,415 </a:t>
            </a:fld>
            <a:endParaRPr lang="en-US" sz="2000">
              <a:latin typeface="Bahnschrift" panose="020B0502040204020203" pitchFamily="34" charset="0"/>
            </a:endParaRPr>
          </a:p>
        </xdr:txBody>
      </xdr:sp>
      <xdr:sp macro="" textlink="">
        <xdr:nvSpPr>
          <xdr:cNvPr id="18" name="TextBox 17">
            <a:extLst>
              <a:ext uri="{FF2B5EF4-FFF2-40B4-BE49-F238E27FC236}">
                <a16:creationId xmlns:a16="http://schemas.microsoft.com/office/drawing/2014/main" id="{4150F1EB-1DD4-E108-0BDA-D919C40C0070}"/>
              </a:ext>
            </a:extLst>
          </xdr:cNvPr>
          <xdr:cNvSpPr txBox="1"/>
        </xdr:nvSpPr>
        <xdr:spPr>
          <a:xfrm>
            <a:off x="1972129" y="2318659"/>
            <a:ext cx="613228"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mn-lt"/>
              </a:rPr>
              <a:t>hrs |</a:t>
            </a:r>
          </a:p>
        </xdr:txBody>
      </xdr:sp>
      <xdr:sp macro="" textlink="Metrics!E3">
        <xdr:nvSpPr>
          <xdr:cNvPr id="19" name="TextBox 18">
            <a:extLst>
              <a:ext uri="{FF2B5EF4-FFF2-40B4-BE49-F238E27FC236}">
                <a16:creationId xmlns:a16="http://schemas.microsoft.com/office/drawing/2014/main" id="{6FDB2F4C-9899-7C30-2F9E-D6C527C86F3D}"/>
              </a:ext>
            </a:extLst>
          </xdr:cNvPr>
          <xdr:cNvSpPr txBox="1"/>
        </xdr:nvSpPr>
        <xdr:spPr>
          <a:xfrm>
            <a:off x="2253344" y="2202544"/>
            <a:ext cx="1012371"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225E4D-19B1-4BDB-B3AF-1C01ED5E19E7}" type="TxLink">
              <a:rPr lang="en-US" sz="2000" b="0" i="0" u="none" strike="noStrike">
                <a:solidFill>
                  <a:srgbClr val="000000"/>
                </a:solidFill>
                <a:latin typeface="Bahnschrift" panose="020B0502040204020203" pitchFamily="34" charset="0"/>
              </a:rPr>
              <a:pPr/>
              <a:t> 100.6 </a:t>
            </a:fld>
            <a:endParaRPr lang="en-US" sz="2000">
              <a:latin typeface="Bahnschrift" panose="020B0502040204020203" pitchFamily="34" charset="0"/>
            </a:endParaRPr>
          </a:p>
        </xdr:txBody>
      </xdr:sp>
      <xdr:sp macro="" textlink="">
        <xdr:nvSpPr>
          <xdr:cNvPr id="20" name="TextBox 19">
            <a:extLst>
              <a:ext uri="{FF2B5EF4-FFF2-40B4-BE49-F238E27FC236}">
                <a16:creationId xmlns:a16="http://schemas.microsoft.com/office/drawing/2014/main" id="{064B5738-9AA3-D664-113A-896B23CC55E7}"/>
              </a:ext>
            </a:extLst>
          </xdr:cNvPr>
          <xdr:cNvSpPr txBox="1"/>
        </xdr:nvSpPr>
        <xdr:spPr>
          <a:xfrm>
            <a:off x="2913743" y="2318659"/>
            <a:ext cx="613228"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mn-lt"/>
              </a:rPr>
              <a:t>days</a:t>
            </a:r>
          </a:p>
        </xdr:txBody>
      </xdr:sp>
      <xdr:grpSp>
        <xdr:nvGrpSpPr>
          <xdr:cNvPr id="23" name="Group 22">
            <a:extLst>
              <a:ext uri="{FF2B5EF4-FFF2-40B4-BE49-F238E27FC236}">
                <a16:creationId xmlns:a16="http://schemas.microsoft.com/office/drawing/2014/main" id="{9D9A76F4-989B-F7E7-5587-79E33D49B054}"/>
              </a:ext>
            </a:extLst>
          </xdr:cNvPr>
          <xdr:cNvGrpSpPr/>
        </xdr:nvGrpSpPr>
        <xdr:grpSpPr>
          <a:xfrm>
            <a:off x="1043213" y="1912260"/>
            <a:ext cx="2313214" cy="781954"/>
            <a:chOff x="1043213" y="1912260"/>
            <a:chExt cx="2313214" cy="781954"/>
          </a:xfrm>
        </xdr:grpSpPr>
        <xdr:sp macro="" textlink="">
          <xdr:nvSpPr>
            <xdr:cNvPr id="21" name="Rectangle: Rounded Corners 20">
              <a:extLst>
                <a:ext uri="{FF2B5EF4-FFF2-40B4-BE49-F238E27FC236}">
                  <a16:creationId xmlns:a16="http://schemas.microsoft.com/office/drawing/2014/main" id="{5E6367FE-6338-CE8D-D74E-3B56EA703065}"/>
                </a:ext>
              </a:extLst>
            </xdr:cNvPr>
            <xdr:cNvSpPr/>
          </xdr:nvSpPr>
          <xdr:spPr>
            <a:xfrm>
              <a:off x="1043213" y="1914071"/>
              <a:ext cx="2313214" cy="780143"/>
            </a:xfrm>
            <a:prstGeom prst="roundRect">
              <a:avLst>
                <a:gd name="adj" fmla="val 15504"/>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Rectangle: Rounded Corners 21">
              <a:extLst>
                <a:ext uri="{FF2B5EF4-FFF2-40B4-BE49-F238E27FC236}">
                  <a16:creationId xmlns:a16="http://schemas.microsoft.com/office/drawing/2014/main" id="{488C7C17-1088-2AFA-B30F-D692097ABFAA}"/>
                </a:ext>
              </a:extLst>
            </xdr:cNvPr>
            <xdr:cNvSpPr/>
          </xdr:nvSpPr>
          <xdr:spPr>
            <a:xfrm>
              <a:off x="1095830" y="1912260"/>
              <a:ext cx="85607" cy="780143"/>
            </a:xfrm>
            <a:prstGeom prst="roundRect">
              <a:avLst>
                <a:gd name="adj" fmla="val 20155"/>
              </a:avLst>
            </a:prstGeom>
            <a:solidFill>
              <a:srgbClr val="7614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5</xdr:col>
      <xdr:colOff>491670</xdr:colOff>
      <xdr:row>6</xdr:row>
      <xdr:rowOff>116128</xdr:rowOff>
    </xdr:from>
    <xdr:to>
      <xdr:col>8</xdr:col>
      <xdr:colOff>526142</xdr:colOff>
      <xdr:row>10</xdr:row>
      <xdr:rowOff>172368</xdr:rowOff>
    </xdr:to>
    <xdr:grpSp>
      <xdr:nvGrpSpPr>
        <xdr:cNvPr id="43" name="Group 42">
          <a:extLst>
            <a:ext uri="{FF2B5EF4-FFF2-40B4-BE49-F238E27FC236}">
              <a16:creationId xmlns:a16="http://schemas.microsoft.com/office/drawing/2014/main" id="{F47722A4-604A-BF9B-9A18-621A3ACDBED3}"/>
            </a:ext>
          </a:extLst>
        </xdr:cNvPr>
        <xdr:cNvGrpSpPr/>
      </xdr:nvGrpSpPr>
      <xdr:grpSpPr>
        <a:xfrm>
          <a:off x="3813990" y="1838248"/>
          <a:ext cx="2686232" cy="787760"/>
          <a:chOff x="3871687" y="1910450"/>
          <a:chExt cx="2483758" cy="781954"/>
        </a:xfrm>
      </xdr:grpSpPr>
      <xdr:sp macro="" textlink="">
        <xdr:nvSpPr>
          <xdr:cNvPr id="27" name="TextBox 26">
            <a:extLst>
              <a:ext uri="{FF2B5EF4-FFF2-40B4-BE49-F238E27FC236}">
                <a16:creationId xmlns:a16="http://schemas.microsoft.com/office/drawing/2014/main" id="{82C29775-55E7-F324-B21D-E8EB147E4945}"/>
              </a:ext>
            </a:extLst>
          </xdr:cNvPr>
          <xdr:cNvSpPr txBox="1"/>
        </xdr:nvSpPr>
        <xdr:spPr>
          <a:xfrm>
            <a:off x="4042232" y="1950363"/>
            <a:ext cx="1598385" cy="28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NPT</a:t>
            </a:r>
          </a:p>
        </xdr:txBody>
      </xdr:sp>
      <xdr:sp macro="" textlink="Metrics!C4">
        <xdr:nvSpPr>
          <xdr:cNvPr id="28" name="TextBox 27">
            <a:extLst>
              <a:ext uri="{FF2B5EF4-FFF2-40B4-BE49-F238E27FC236}">
                <a16:creationId xmlns:a16="http://schemas.microsoft.com/office/drawing/2014/main" id="{EDF4D8E3-A790-02D2-5281-29AC91C79289}"/>
              </a:ext>
            </a:extLst>
          </xdr:cNvPr>
          <xdr:cNvSpPr txBox="1"/>
        </xdr:nvSpPr>
        <xdr:spPr>
          <a:xfrm>
            <a:off x="4067631" y="2200734"/>
            <a:ext cx="1164770"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80B7D71-0ECB-4721-A69F-64403587D094}" type="TxLink">
              <a:rPr lang="en-US" sz="2000" b="0" i="0" u="none" strike="noStrike">
                <a:solidFill>
                  <a:srgbClr val="000000"/>
                </a:solidFill>
                <a:latin typeface="Bahnschrift" panose="020B0502040204020203" pitchFamily="34" charset="0"/>
                <a:ea typeface="+mn-ea"/>
                <a:cs typeface="+mn-cs"/>
              </a:rPr>
              <a:pPr marL="0" indent="0"/>
              <a:t> 359.0 </a:t>
            </a:fld>
            <a:endParaRPr lang="en-US" sz="2000" b="0" i="0" u="none" strike="noStrike">
              <a:solidFill>
                <a:srgbClr val="000000"/>
              </a:solidFill>
              <a:latin typeface="Bahnschrift" panose="020B0502040204020203" pitchFamily="34" charset="0"/>
              <a:ea typeface="+mn-ea"/>
              <a:cs typeface="+mn-cs"/>
            </a:endParaRPr>
          </a:p>
        </xdr:txBody>
      </xdr:sp>
      <xdr:sp macro="" textlink="">
        <xdr:nvSpPr>
          <xdr:cNvPr id="29" name="TextBox 28">
            <a:extLst>
              <a:ext uri="{FF2B5EF4-FFF2-40B4-BE49-F238E27FC236}">
                <a16:creationId xmlns:a16="http://schemas.microsoft.com/office/drawing/2014/main" id="{AAA0D603-0B10-7F66-5A30-C56C8520E8D7}"/>
              </a:ext>
            </a:extLst>
          </xdr:cNvPr>
          <xdr:cNvSpPr txBox="1"/>
        </xdr:nvSpPr>
        <xdr:spPr>
          <a:xfrm>
            <a:off x="4800603" y="2316849"/>
            <a:ext cx="613228"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mn-lt"/>
              </a:rPr>
              <a:t>hrs |</a:t>
            </a:r>
          </a:p>
        </xdr:txBody>
      </xdr:sp>
      <xdr:sp macro="" textlink="Metrics!E4">
        <xdr:nvSpPr>
          <xdr:cNvPr id="30" name="TextBox 29">
            <a:extLst>
              <a:ext uri="{FF2B5EF4-FFF2-40B4-BE49-F238E27FC236}">
                <a16:creationId xmlns:a16="http://schemas.microsoft.com/office/drawing/2014/main" id="{71AFEA4B-CC10-0B2F-64AE-8EFB4C605B68}"/>
              </a:ext>
            </a:extLst>
          </xdr:cNvPr>
          <xdr:cNvSpPr txBox="1"/>
        </xdr:nvSpPr>
        <xdr:spPr>
          <a:xfrm>
            <a:off x="5081818" y="2200734"/>
            <a:ext cx="1012371"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359AE5-4233-46CF-895E-3E2F283F45BD}" type="TxLink">
              <a:rPr lang="en-US" sz="2000" b="0" i="0" u="none" strike="noStrike">
                <a:solidFill>
                  <a:srgbClr val="000000"/>
                </a:solidFill>
                <a:latin typeface="Bahnschrift" panose="020B0502040204020203" pitchFamily="34" charset="0"/>
                <a:ea typeface="+mn-ea"/>
                <a:cs typeface="+mn-cs"/>
              </a:rPr>
              <a:pPr marL="0" indent="0"/>
              <a:t> 15.0 </a:t>
            </a:fld>
            <a:endParaRPr lang="en-US" sz="2000" b="0" i="0" u="none" strike="noStrike">
              <a:solidFill>
                <a:srgbClr val="000000"/>
              </a:solidFill>
              <a:latin typeface="Bahnschrift" panose="020B0502040204020203" pitchFamily="34" charset="0"/>
              <a:ea typeface="+mn-ea"/>
              <a:cs typeface="+mn-cs"/>
            </a:endParaRPr>
          </a:p>
        </xdr:txBody>
      </xdr:sp>
      <xdr:sp macro="" textlink="">
        <xdr:nvSpPr>
          <xdr:cNvPr id="31" name="TextBox 30">
            <a:extLst>
              <a:ext uri="{FF2B5EF4-FFF2-40B4-BE49-F238E27FC236}">
                <a16:creationId xmlns:a16="http://schemas.microsoft.com/office/drawing/2014/main" id="{28EBCDC3-FFE1-59DE-890D-2720DE6C42A1}"/>
              </a:ext>
            </a:extLst>
          </xdr:cNvPr>
          <xdr:cNvSpPr txBox="1"/>
        </xdr:nvSpPr>
        <xdr:spPr>
          <a:xfrm>
            <a:off x="5735867" y="2316849"/>
            <a:ext cx="619578"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mn-lt"/>
              </a:rPr>
              <a:t>days</a:t>
            </a:r>
          </a:p>
        </xdr:txBody>
      </xdr:sp>
      <xdr:grpSp>
        <xdr:nvGrpSpPr>
          <xdr:cNvPr id="32" name="Group 31">
            <a:extLst>
              <a:ext uri="{FF2B5EF4-FFF2-40B4-BE49-F238E27FC236}">
                <a16:creationId xmlns:a16="http://schemas.microsoft.com/office/drawing/2014/main" id="{844C4CDC-9A3F-4128-EA45-854ED782AD62}"/>
              </a:ext>
            </a:extLst>
          </xdr:cNvPr>
          <xdr:cNvGrpSpPr/>
        </xdr:nvGrpSpPr>
        <xdr:grpSpPr>
          <a:xfrm>
            <a:off x="3871687" y="1910450"/>
            <a:ext cx="2313214" cy="781954"/>
            <a:chOff x="1043213" y="1912260"/>
            <a:chExt cx="2313214" cy="781954"/>
          </a:xfrm>
        </xdr:grpSpPr>
        <xdr:sp macro="" textlink="">
          <xdr:nvSpPr>
            <xdr:cNvPr id="33" name="Rectangle: Rounded Corners 32">
              <a:extLst>
                <a:ext uri="{FF2B5EF4-FFF2-40B4-BE49-F238E27FC236}">
                  <a16:creationId xmlns:a16="http://schemas.microsoft.com/office/drawing/2014/main" id="{6F27A5D3-F4CE-1C5E-13A1-B7C0FAAB1408}"/>
                </a:ext>
              </a:extLst>
            </xdr:cNvPr>
            <xdr:cNvSpPr/>
          </xdr:nvSpPr>
          <xdr:spPr>
            <a:xfrm>
              <a:off x="1043213" y="1914071"/>
              <a:ext cx="2313214" cy="780143"/>
            </a:xfrm>
            <a:prstGeom prst="roundRect">
              <a:avLst>
                <a:gd name="adj" fmla="val 15504"/>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11D84831-822D-816E-7097-2EE3D04F3485}"/>
                </a:ext>
              </a:extLst>
            </xdr:cNvPr>
            <xdr:cNvSpPr/>
          </xdr:nvSpPr>
          <xdr:spPr>
            <a:xfrm>
              <a:off x="1095830" y="1912260"/>
              <a:ext cx="82123" cy="780143"/>
            </a:xfrm>
            <a:prstGeom prst="roundRect">
              <a:avLst>
                <a:gd name="adj" fmla="val 20155"/>
              </a:avLst>
            </a:prstGeom>
            <a:solidFill>
              <a:srgbClr val="7614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8</xdr:col>
      <xdr:colOff>547915</xdr:colOff>
      <xdr:row>6</xdr:row>
      <xdr:rowOff>116128</xdr:rowOff>
    </xdr:from>
    <xdr:to>
      <xdr:col>11</xdr:col>
      <xdr:colOff>619023</xdr:colOff>
      <xdr:row>10</xdr:row>
      <xdr:rowOff>177817</xdr:rowOff>
    </xdr:to>
    <xdr:grpSp>
      <xdr:nvGrpSpPr>
        <xdr:cNvPr id="44" name="Group 43">
          <a:extLst>
            <a:ext uri="{FF2B5EF4-FFF2-40B4-BE49-F238E27FC236}">
              <a16:creationId xmlns:a16="http://schemas.microsoft.com/office/drawing/2014/main" id="{62126B93-AD10-8651-BE6B-40D406BD8DED}"/>
            </a:ext>
          </a:extLst>
        </xdr:cNvPr>
        <xdr:cNvGrpSpPr/>
      </xdr:nvGrpSpPr>
      <xdr:grpSpPr>
        <a:xfrm>
          <a:off x="6521995" y="1838248"/>
          <a:ext cx="2722868" cy="793209"/>
          <a:chOff x="6437084" y="1901383"/>
          <a:chExt cx="2520316" cy="787403"/>
        </a:xfrm>
      </xdr:grpSpPr>
      <xdr:sp macro="" textlink="">
        <xdr:nvSpPr>
          <xdr:cNvPr id="35" name="TextBox 34">
            <a:extLst>
              <a:ext uri="{FF2B5EF4-FFF2-40B4-BE49-F238E27FC236}">
                <a16:creationId xmlns:a16="http://schemas.microsoft.com/office/drawing/2014/main" id="{FCA059DD-0F1F-736A-E95D-9D7F59D154E9}"/>
              </a:ext>
            </a:extLst>
          </xdr:cNvPr>
          <xdr:cNvSpPr txBox="1"/>
        </xdr:nvSpPr>
        <xdr:spPr>
          <a:xfrm>
            <a:off x="6607629" y="1939485"/>
            <a:ext cx="1598385" cy="28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Productive Time</a:t>
            </a:r>
          </a:p>
        </xdr:txBody>
      </xdr:sp>
      <xdr:sp macro="" textlink="Metrics!C7">
        <xdr:nvSpPr>
          <xdr:cNvPr id="36" name="TextBox 35">
            <a:extLst>
              <a:ext uri="{FF2B5EF4-FFF2-40B4-BE49-F238E27FC236}">
                <a16:creationId xmlns:a16="http://schemas.microsoft.com/office/drawing/2014/main" id="{E061F081-3EE5-A56B-5BD7-C44A67E1F968}"/>
              </a:ext>
            </a:extLst>
          </xdr:cNvPr>
          <xdr:cNvSpPr txBox="1"/>
        </xdr:nvSpPr>
        <xdr:spPr>
          <a:xfrm>
            <a:off x="6542320" y="2189856"/>
            <a:ext cx="1164770"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10B61C2-47F0-4402-98E7-FCBF41045DA9}" type="TxLink">
              <a:rPr lang="en-US" sz="2000" b="0" i="0" u="none" strike="noStrike">
                <a:solidFill>
                  <a:srgbClr val="000000"/>
                </a:solidFill>
                <a:latin typeface="Bahnschrift" panose="020B0502040204020203" pitchFamily="34" charset="0"/>
                <a:ea typeface="+mn-ea"/>
                <a:cs typeface="+mn-cs"/>
              </a:rPr>
              <a:pPr marL="0" indent="0"/>
              <a:t> 2,056.0 </a:t>
            </a:fld>
            <a:endParaRPr lang="en-US" sz="2000" b="0" i="0" u="none" strike="noStrike">
              <a:solidFill>
                <a:srgbClr val="000000"/>
              </a:solidFill>
              <a:latin typeface="Bahnschrift" panose="020B0502040204020203" pitchFamily="34" charset="0"/>
              <a:ea typeface="+mn-ea"/>
              <a:cs typeface="+mn-cs"/>
            </a:endParaRPr>
          </a:p>
        </xdr:txBody>
      </xdr:sp>
      <xdr:sp macro="" textlink="">
        <xdr:nvSpPr>
          <xdr:cNvPr id="37" name="TextBox 36">
            <a:extLst>
              <a:ext uri="{FF2B5EF4-FFF2-40B4-BE49-F238E27FC236}">
                <a16:creationId xmlns:a16="http://schemas.microsoft.com/office/drawing/2014/main" id="{2DA667DD-4CAD-8668-7B0C-4080F3304034}"/>
              </a:ext>
            </a:extLst>
          </xdr:cNvPr>
          <xdr:cNvSpPr txBox="1"/>
        </xdr:nvSpPr>
        <xdr:spPr>
          <a:xfrm>
            <a:off x="7468503" y="2305971"/>
            <a:ext cx="619578"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mn-lt"/>
              </a:rPr>
              <a:t>hrs |</a:t>
            </a:r>
          </a:p>
        </xdr:txBody>
      </xdr:sp>
      <xdr:sp macro="" textlink="Metrics!E7">
        <xdr:nvSpPr>
          <xdr:cNvPr id="38" name="TextBox 37">
            <a:extLst>
              <a:ext uri="{FF2B5EF4-FFF2-40B4-BE49-F238E27FC236}">
                <a16:creationId xmlns:a16="http://schemas.microsoft.com/office/drawing/2014/main" id="{F0680B8E-05B3-AB48-4C34-A860577C78A5}"/>
              </a:ext>
            </a:extLst>
          </xdr:cNvPr>
          <xdr:cNvSpPr txBox="1"/>
        </xdr:nvSpPr>
        <xdr:spPr>
          <a:xfrm>
            <a:off x="7704362" y="2189856"/>
            <a:ext cx="1018721"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347F420-DE89-4DCD-9F1F-9741D2F39462}" type="TxLink">
              <a:rPr lang="en-US" sz="2000" b="0" i="0" u="none" strike="noStrike">
                <a:solidFill>
                  <a:srgbClr val="000000"/>
                </a:solidFill>
                <a:latin typeface="Bahnschrift" panose="020B0502040204020203" pitchFamily="34" charset="0"/>
                <a:ea typeface="+mn-ea"/>
                <a:cs typeface="+mn-cs"/>
              </a:rPr>
              <a:pPr marL="0" indent="0"/>
              <a:t> 85.7 </a:t>
            </a:fld>
            <a:endParaRPr lang="en-US" sz="2000" b="0" i="0" u="none" strike="noStrike">
              <a:solidFill>
                <a:srgbClr val="000000"/>
              </a:solidFill>
              <a:latin typeface="Bahnschrift" panose="020B0502040204020203" pitchFamily="34" charset="0"/>
              <a:ea typeface="+mn-ea"/>
              <a:cs typeface="+mn-cs"/>
            </a:endParaRPr>
          </a:p>
        </xdr:txBody>
      </xdr:sp>
      <xdr:sp macro="" textlink="">
        <xdr:nvSpPr>
          <xdr:cNvPr id="39" name="TextBox 38">
            <a:extLst>
              <a:ext uri="{FF2B5EF4-FFF2-40B4-BE49-F238E27FC236}">
                <a16:creationId xmlns:a16="http://schemas.microsoft.com/office/drawing/2014/main" id="{F172DABE-A188-E655-8F61-4423A9D81413}"/>
              </a:ext>
            </a:extLst>
          </xdr:cNvPr>
          <xdr:cNvSpPr txBox="1"/>
        </xdr:nvSpPr>
        <xdr:spPr>
          <a:xfrm>
            <a:off x="8337822" y="2305971"/>
            <a:ext cx="619578" cy="255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mn-lt"/>
              </a:rPr>
              <a:t>days</a:t>
            </a:r>
          </a:p>
        </xdr:txBody>
      </xdr:sp>
      <xdr:grpSp>
        <xdr:nvGrpSpPr>
          <xdr:cNvPr id="40" name="Group 39">
            <a:extLst>
              <a:ext uri="{FF2B5EF4-FFF2-40B4-BE49-F238E27FC236}">
                <a16:creationId xmlns:a16="http://schemas.microsoft.com/office/drawing/2014/main" id="{7DC9B618-9B90-5E43-19A5-B7D2BC84A3F8}"/>
              </a:ext>
            </a:extLst>
          </xdr:cNvPr>
          <xdr:cNvGrpSpPr/>
        </xdr:nvGrpSpPr>
        <xdr:grpSpPr>
          <a:xfrm>
            <a:off x="6437084" y="1901383"/>
            <a:ext cx="2313214" cy="787403"/>
            <a:chOff x="1043213" y="1914071"/>
            <a:chExt cx="2313214" cy="787403"/>
          </a:xfrm>
        </xdr:grpSpPr>
        <xdr:sp macro="" textlink="">
          <xdr:nvSpPr>
            <xdr:cNvPr id="41" name="Rectangle: Rounded Corners 40">
              <a:extLst>
                <a:ext uri="{FF2B5EF4-FFF2-40B4-BE49-F238E27FC236}">
                  <a16:creationId xmlns:a16="http://schemas.microsoft.com/office/drawing/2014/main" id="{72036844-A792-6CF9-D35A-21B40A1887B2}"/>
                </a:ext>
              </a:extLst>
            </xdr:cNvPr>
            <xdr:cNvSpPr/>
          </xdr:nvSpPr>
          <xdr:spPr>
            <a:xfrm>
              <a:off x="1043213" y="1914071"/>
              <a:ext cx="2313214" cy="780143"/>
            </a:xfrm>
            <a:prstGeom prst="roundRect">
              <a:avLst>
                <a:gd name="adj" fmla="val 15504"/>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Rectangle: Rounded Corners 41">
              <a:extLst>
                <a:ext uri="{FF2B5EF4-FFF2-40B4-BE49-F238E27FC236}">
                  <a16:creationId xmlns:a16="http://schemas.microsoft.com/office/drawing/2014/main" id="{58A77C48-122F-70EE-C0BC-7A07F04DAFBB}"/>
                </a:ext>
              </a:extLst>
            </xdr:cNvPr>
            <xdr:cNvSpPr/>
          </xdr:nvSpPr>
          <xdr:spPr>
            <a:xfrm>
              <a:off x="1095830" y="1921331"/>
              <a:ext cx="82123" cy="780143"/>
            </a:xfrm>
            <a:prstGeom prst="roundRect">
              <a:avLst>
                <a:gd name="adj" fmla="val 20155"/>
              </a:avLst>
            </a:prstGeom>
            <a:solidFill>
              <a:srgbClr val="7614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11</xdr:col>
      <xdr:colOff>604154</xdr:colOff>
      <xdr:row>6</xdr:row>
      <xdr:rowOff>116128</xdr:rowOff>
    </xdr:from>
    <xdr:to>
      <xdr:col>14</xdr:col>
      <xdr:colOff>146955</xdr:colOff>
      <xdr:row>10</xdr:row>
      <xdr:rowOff>172368</xdr:rowOff>
    </xdr:to>
    <xdr:grpSp>
      <xdr:nvGrpSpPr>
        <xdr:cNvPr id="54" name="Group 53">
          <a:extLst>
            <a:ext uri="{FF2B5EF4-FFF2-40B4-BE49-F238E27FC236}">
              <a16:creationId xmlns:a16="http://schemas.microsoft.com/office/drawing/2014/main" id="{5186A817-502B-C17A-BC28-EBAA944E4F9E}"/>
            </a:ext>
          </a:extLst>
        </xdr:cNvPr>
        <xdr:cNvGrpSpPr/>
      </xdr:nvGrpSpPr>
      <xdr:grpSpPr>
        <a:xfrm>
          <a:off x="9229994" y="1838248"/>
          <a:ext cx="2194561" cy="787760"/>
          <a:chOff x="8557984" y="1888686"/>
          <a:chExt cx="1992087" cy="781954"/>
        </a:xfrm>
      </xdr:grpSpPr>
      <xdr:sp macro="" textlink="">
        <xdr:nvSpPr>
          <xdr:cNvPr id="46" name="TextBox 45">
            <a:extLst>
              <a:ext uri="{FF2B5EF4-FFF2-40B4-BE49-F238E27FC236}">
                <a16:creationId xmlns:a16="http://schemas.microsoft.com/office/drawing/2014/main" id="{7384FD0C-6651-518A-FB9B-9934A9B23167}"/>
              </a:ext>
            </a:extLst>
          </xdr:cNvPr>
          <xdr:cNvSpPr txBox="1"/>
        </xdr:nvSpPr>
        <xdr:spPr>
          <a:xfrm>
            <a:off x="8728529" y="1928599"/>
            <a:ext cx="1598385" cy="28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NPT Cost ($)</a:t>
            </a:r>
          </a:p>
        </xdr:txBody>
      </xdr:sp>
      <xdr:sp macro="" textlink="Metrics!C6">
        <xdr:nvSpPr>
          <xdr:cNvPr id="47" name="TextBox 46">
            <a:extLst>
              <a:ext uri="{FF2B5EF4-FFF2-40B4-BE49-F238E27FC236}">
                <a16:creationId xmlns:a16="http://schemas.microsoft.com/office/drawing/2014/main" id="{E92B9583-9F88-2249-5534-CB9B580A0C51}"/>
              </a:ext>
            </a:extLst>
          </xdr:cNvPr>
          <xdr:cNvSpPr txBox="1"/>
        </xdr:nvSpPr>
        <xdr:spPr>
          <a:xfrm>
            <a:off x="8753927" y="2215256"/>
            <a:ext cx="1714501"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01F024-024A-40A7-B245-3FE460112399}" type="TxLink">
              <a:rPr lang="en-US" sz="2000" b="0" i="0" u="none" strike="noStrike">
                <a:solidFill>
                  <a:srgbClr val="000000"/>
                </a:solidFill>
                <a:latin typeface="Bahnschrift" panose="020B0502040204020203" pitchFamily="34" charset="0"/>
                <a:ea typeface="+mn-ea"/>
                <a:cs typeface="+mn-cs"/>
              </a:rPr>
              <a:pPr marL="0" indent="0"/>
              <a:t>3,895,010.36 </a:t>
            </a:fld>
            <a:endParaRPr lang="en-US" sz="2000" b="0" i="0" u="none" strike="noStrike">
              <a:solidFill>
                <a:srgbClr val="000000"/>
              </a:solidFill>
              <a:latin typeface="Bahnschrift" panose="020B0502040204020203" pitchFamily="34" charset="0"/>
              <a:ea typeface="+mn-ea"/>
              <a:cs typeface="+mn-cs"/>
            </a:endParaRPr>
          </a:p>
        </xdr:txBody>
      </xdr:sp>
      <xdr:grpSp>
        <xdr:nvGrpSpPr>
          <xdr:cNvPr id="51" name="Group 50">
            <a:extLst>
              <a:ext uri="{FF2B5EF4-FFF2-40B4-BE49-F238E27FC236}">
                <a16:creationId xmlns:a16="http://schemas.microsoft.com/office/drawing/2014/main" id="{5B6402D1-EB7D-BB0B-2BD8-A6CC39841D5E}"/>
              </a:ext>
            </a:extLst>
          </xdr:cNvPr>
          <xdr:cNvGrpSpPr/>
        </xdr:nvGrpSpPr>
        <xdr:grpSpPr>
          <a:xfrm>
            <a:off x="8557984" y="1888686"/>
            <a:ext cx="1992087" cy="781954"/>
            <a:chOff x="1043213" y="1912260"/>
            <a:chExt cx="2313214" cy="781954"/>
          </a:xfrm>
        </xdr:grpSpPr>
        <xdr:sp macro="" textlink="">
          <xdr:nvSpPr>
            <xdr:cNvPr id="52" name="Rectangle: Rounded Corners 51">
              <a:extLst>
                <a:ext uri="{FF2B5EF4-FFF2-40B4-BE49-F238E27FC236}">
                  <a16:creationId xmlns:a16="http://schemas.microsoft.com/office/drawing/2014/main" id="{81A8674F-9C40-AD07-7F9F-741387809E00}"/>
                </a:ext>
              </a:extLst>
            </xdr:cNvPr>
            <xdr:cNvSpPr/>
          </xdr:nvSpPr>
          <xdr:spPr>
            <a:xfrm>
              <a:off x="1043213" y="1914071"/>
              <a:ext cx="2313214" cy="780143"/>
            </a:xfrm>
            <a:prstGeom prst="roundRect">
              <a:avLst>
                <a:gd name="adj" fmla="val 15504"/>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Rounded Corners 52">
              <a:extLst>
                <a:ext uri="{FF2B5EF4-FFF2-40B4-BE49-F238E27FC236}">
                  <a16:creationId xmlns:a16="http://schemas.microsoft.com/office/drawing/2014/main" id="{BDA6686E-A6C2-4A5F-AA28-BED49A95635D}"/>
                </a:ext>
              </a:extLst>
            </xdr:cNvPr>
            <xdr:cNvSpPr/>
          </xdr:nvSpPr>
          <xdr:spPr>
            <a:xfrm>
              <a:off x="1095830" y="1912260"/>
              <a:ext cx="95312" cy="780143"/>
            </a:xfrm>
            <a:prstGeom prst="roundRect">
              <a:avLst>
                <a:gd name="adj" fmla="val 20155"/>
              </a:avLst>
            </a:prstGeom>
            <a:solidFill>
              <a:srgbClr val="7614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14</xdr:col>
      <xdr:colOff>304797</xdr:colOff>
      <xdr:row>6</xdr:row>
      <xdr:rowOff>97985</xdr:rowOff>
    </xdr:from>
    <xdr:to>
      <xdr:col>16</xdr:col>
      <xdr:colOff>440870</xdr:colOff>
      <xdr:row>10</xdr:row>
      <xdr:rowOff>154225</xdr:rowOff>
    </xdr:to>
    <xdr:grpSp>
      <xdr:nvGrpSpPr>
        <xdr:cNvPr id="61" name="Group 60">
          <a:extLst>
            <a:ext uri="{FF2B5EF4-FFF2-40B4-BE49-F238E27FC236}">
              <a16:creationId xmlns:a16="http://schemas.microsoft.com/office/drawing/2014/main" id="{395E2E53-88F7-67C6-4F48-0176AF2B3B5C}"/>
            </a:ext>
          </a:extLst>
        </xdr:cNvPr>
        <xdr:cNvGrpSpPr/>
      </xdr:nvGrpSpPr>
      <xdr:grpSpPr>
        <a:xfrm>
          <a:off x="11582397" y="1820105"/>
          <a:ext cx="1903913" cy="787760"/>
          <a:chOff x="10706098" y="1886871"/>
          <a:chExt cx="1768930" cy="781954"/>
        </a:xfrm>
      </xdr:grpSpPr>
      <xdr:sp macro="" textlink="">
        <xdr:nvSpPr>
          <xdr:cNvPr id="56" name="TextBox 55">
            <a:extLst>
              <a:ext uri="{FF2B5EF4-FFF2-40B4-BE49-F238E27FC236}">
                <a16:creationId xmlns:a16="http://schemas.microsoft.com/office/drawing/2014/main" id="{CAD445ED-FE5A-6C00-7030-8256FA40BF40}"/>
              </a:ext>
            </a:extLst>
          </xdr:cNvPr>
          <xdr:cNvSpPr txBox="1"/>
        </xdr:nvSpPr>
        <xdr:spPr>
          <a:xfrm>
            <a:off x="10876643" y="1926784"/>
            <a:ext cx="1598385" cy="28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Overall NPT</a:t>
            </a:r>
            <a:r>
              <a:rPr lang="en-US" sz="1100" baseline="0"/>
              <a:t> (%)</a:t>
            </a:r>
            <a:endParaRPr lang="en-US" sz="1100"/>
          </a:p>
        </xdr:txBody>
      </xdr:sp>
      <xdr:sp macro="" textlink="Metrics!C5">
        <xdr:nvSpPr>
          <xdr:cNvPr id="57" name="TextBox 56">
            <a:extLst>
              <a:ext uri="{FF2B5EF4-FFF2-40B4-BE49-F238E27FC236}">
                <a16:creationId xmlns:a16="http://schemas.microsoft.com/office/drawing/2014/main" id="{2A8F1DF7-A7D3-AE0E-5F8D-87972E2A89D4}"/>
              </a:ext>
            </a:extLst>
          </xdr:cNvPr>
          <xdr:cNvSpPr txBox="1"/>
        </xdr:nvSpPr>
        <xdr:spPr>
          <a:xfrm>
            <a:off x="10902042" y="2213441"/>
            <a:ext cx="105410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352F9E6-655A-4682-B6AF-3D285746B9B1}" type="TxLink">
              <a:rPr lang="en-US" sz="2000" b="0" i="0" u="none" strike="noStrike">
                <a:solidFill>
                  <a:srgbClr val="000000"/>
                </a:solidFill>
                <a:latin typeface="Bahnschrift" panose="020B0502040204020203" pitchFamily="34" charset="0"/>
                <a:ea typeface="+mn-ea"/>
                <a:cs typeface="+mn-cs"/>
              </a:rPr>
              <a:pPr marL="0" indent="0"/>
              <a:t>14.87%</a:t>
            </a:fld>
            <a:endParaRPr lang="en-US" sz="2000" b="0" i="0" u="none" strike="noStrike">
              <a:solidFill>
                <a:srgbClr val="000000"/>
              </a:solidFill>
              <a:latin typeface="Bahnschrift" panose="020B0502040204020203" pitchFamily="34" charset="0"/>
              <a:ea typeface="+mn-ea"/>
              <a:cs typeface="+mn-cs"/>
            </a:endParaRPr>
          </a:p>
        </xdr:txBody>
      </xdr:sp>
      <xdr:grpSp>
        <xdr:nvGrpSpPr>
          <xdr:cNvPr id="58" name="Group 57">
            <a:extLst>
              <a:ext uri="{FF2B5EF4-FFF2-40B4-BE49-F238E27FC236}">
                <a16:creationId xmlns:a16="http://schemas.microsoft.com/office/drawing/2014/main" id="{27FA9A85-DE19-7418-7138-973E004E9BBE}"/>
              </a:ext>
            </a:extLst>
          </xdr:cNvPr>
          <xdr:cNvGrpSpPr/>
        </xdr:nvGrpSpPr>
        <xdr:grpSpPr>
          <a:xfrm>
            <a:off x="10706098" y="1886871"/>
            <a:ext cx="1404259" cy="781954"/>
            <a:chOff x="1043213" y="1912260"/>
            <a:chExt cx="2313214" cy="781954"/>
          </a:xfrm>
        </xdr:grpSpPr>
        <xdr:sp macro="" textlink="">
          <xdr:nvSpPr>
            <xdr:cNvPr id="59" name="Rectangle: Rounded Corners 58">
              <a:extLst>
                <a:ext uri="{FF2B5EF4-FFF2-40B4-BE49-F238E27FC236}">
                  <a16:creationId xmlns:a16="http://schemas.microsoft.com/office/drawing/2014/main" id="{9EAF02AE-D593-7F90-27D6-89904B0958B7}"/>
                </a:ext>
              </a:extLst>
            </xdr:cNvPr>
            <xdr:cNvSpPr/>
          </xdr:nvSpPr>
          <xdr:spPr>
            <a:xfrm>
              <a:off x="1043213" y="1914071"/>
              <a:ext cx="2313214" cy="780143"/>
            </a:xfrm>
            <a:prstGeom prst="roundRect">
              <a:avLst>
                <a:gd name="adj" fmla="val 15504"/>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9">
              <a:extLst>
                <a:ext uri="{FF2B5EF4-FFF2-40B4-BE49-F238E27FC236}">
                  <a16:creationId xmlns:a16="http://schemas.microsoft.com/office/drawing/2014/main" id="{5FDD2989-5402-BE82-3983-E712ECB5AE13}"/>
                </a:ext>
              </a:extLst>
            </xdr:cNvPr>
            <xdr:cNvSpPr/>
          </xdr:nvSpPr>
          <xdr:spPr>
            <a:xfrm>
              <a:off x="1095831" y="1912260"/>
              <a:ext cx="128814" cy="780143"/>
            </a:xfrm>
            <a:prstGeom prst="roundRect">
              <a:avLst>
                <a:gd name="adj" fmla="val 20155"/>
              </a:avLst>
            </a:prstGeom>
            <a:solidFill>
              <a:srgbClr val="7614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16</xdr:col>
      <xdr:colOff>317498</xdr:colOff>
      <xdr:row>6</xdr:row>
      <xdr:rowOff>88913</xdr:rowOff>
    </xdr:from>
    <xdr:to>
      <xdr:col>18</xdr:col>
      <xdr:colOff>453571</xdr:colOff>
      <xdr:row>10</xdr:row>
      <xdr:rowOff>145153</xdr:rowOff>
    </xdr:to>
    <xdr:grpSp>
      <xdr:nvGrpSpPr>
        <xdr:cNvPr id="68" name="Group 67">
          <a:extLst>
            <a:ext uri="{FF2B5EF4-FFF2-40B4-BE49-F238E27FC236}">
              <a16:creationId xmlns:a16="http://schemas.microsoft.com/office/drawing/2014/main" id="{C83B0892-A2F8-001B-B4BB-C3B2F16E1263}"/>
            </a:ext>
          </a:extLst>
        </xdr:cNvPr>
        <xdr:cNvGrpSpPr/>
      </xdr:nvGrpSpPr>
      <xdr:grpSpPr>
        <a:xfrm>
          <a:off x="13362938" y="1811033"/>
          <a:ext cx="1903913" cy="787760"/>
          <a:chOff x="12364355" y="1848771"/>
          <a:chExt cx="1768930" cy="781954"/>
        </a:xfrm>
      </xdr:grpSpPr>
      <xdr:sp macro="" textlink="">
        <xdr:nvSpPr>
          <xdr:cNvPr id="63" name="TextBox 62">
            <a:extLst>
              <a:ext uri="{FF2B5EF4-FFF2-40B4-BE49-F238E27FC236}">
                <a16:creationId xmlns:a16="http://schemas.microsoft.com/office/drawing/2014/main" id="{6F7241A4-575D-F2E0-BCCF-328495684F2D}"/>
              </a:ext>
            </a:extLst>
          </xdr:cNvPr>
          <xdr:cNvSpPr txBox="1"/>
        </xdr:nvSpPr>
        <xdr:spPr>
          <a:xfrm>
            <a:off x="12534900" y="1888684"/>
            <a:ext cx="1598385" cy="288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Productive Hours (%)</a:t>
            </a:r>
          </a:p>
        </xdr:txBody>
      </xdr:sp>
      <xdr:sp macro="" textlink="Metrics!C8">
        <xdr:nvSpPr>
          <xdr:cNvPr id="64" name="TextBox 63">
            <a:extLst>
              <a:ext uri="{FF2B5EF4-FFF2-40B4-BE49-F238E27FC236}">
                <a16:creationId xmlns:a16="http://schemas.microsoft.com/office/drawing/2014/main" id="{78CA70B9-CC4D-68B7-2326-9981D18D4811}"/>
              </a:ext>
            </a:extLst>
          </xdr:cNvPr>
          <xdr:cNvSpPr txBox="1"/>
        </xdr:nvSpPr>
        <xdr:spPr>
          <a:xfrm>
            <a:off x="12560299" y="2175341"/>
            <a:ext cx="1054102"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EB6FC8-57DB-4CC0-AEC4-7933920A70A8}" type="TxLink">
              <a:rPr lang="en-US" sz="2000" b="0" i="0" u="none" strike="noStrike">
                <a:solidFill>
                  <a:srgbClr val="000000"/>
                </a:solidFill>
                <a:latin typeface="Bahnschrift" panose="020B0502040204020203" pitchFamily="34" charset="0"/>
                <a:ea typeface="+mn-ea"/>
                <a:cs typeface="+mn-cs"/>
              </a:rPr>
              <a:pPr marL="0" indent="0"/>
              <a:t>85.13%</a:t>
            </a:fld>
            <a:endParaRPr lang="en-US" sz="2000" b="0" i="0" u="none" strike="noStrike">
              <a:solidFill>
                <a:srgbClr val="000000"/>
              </a:solidFill>
              <a:latin typeface="Bahnschrift" panose="020B0502040204020203" pitchFamily="34" charset="0"/>
              <a:ea typeface="+mn-ea"/>
              <a:cs typeface="+mn-cs"/>
            </a:endParaRPr>
          </a:p>
        </xdr:txBody>
      </xdr:sp>
      <xdr:grpSp>
        <xdr:nvGrpSpPr>
          <xdr:cNvPr id="65" name="Group 64">
            <a:extLst>
              <a:ext uri="{FF2B5EF4-FFF2-40B4-BE49-F238E27FC236}">
                <a16:creationId xmlns:a16="http://schemas.microsoft.com/office/drawing/2014/main" id="{829903FE-C5CF-C181-A733-7EDA37DE349E}"/>
              </a:ext>
            </a:extLst>
          </xdr:cNvPr>
          <xdr:cNvGrpSpPr/>
        </xdr:nvGrpSpPr>
        <xdr:grpSpPr>
          <a:xfrm>
            <a:off x="12364355" y="1848771"/>
            <a:ext cx="1678216" cy="781954"/>
            <a:chOff x="1043213" y="1912260"/>
            <a:chExt cx="2764499" cy="781954"/>
          </a:xfrm>
        </xdr:grpSpPr>
        <xdr:sp macro="" textlink="">
          <xdr:nvSpPr>
            <xdr:cNvPr id="66" name="Rectangle: Rounded Corners 65">
              <a:extLst>
                <a:ext uri="{FF2B5EF4-FFF2-40B4-BE49-F238E27FC236}">
                  <a16:creationId xmlns:a16="http://schemas.microsoft.com/office/drawing/2014/main" id="{8F2AD571-4624-13A6-0489-FFA1AE2242F3}"/>
                </a:ext>
              </a:extLst>
            </xdr:cNvPr>
            <xdr:cNvSpPr/>
          </xdr:nvSpPr>
          <xdr:spPr>
            <a:xfrm>
              <a:off x="1043213" y="1914071"/>
              <a:ext cx="2764499" cy="780143"/>
            </a:xfrm>
            <a:prstGeom prst="roundRect">
              <a:avLst>
                <a:gd name="adj" fmla="val 15504"/>
              </a:avLst>
            </a:prstGeom>
            <a:no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Rectangle: Rounded Corners 66">
              <a:extLst>
                <a:ext uri="{FF2B5EF4-FFF2-40B4-BE49-F238E27FC236}">
                  <a16:creationId xmlns:a16="http://schemas.microsoft.com/office/drawing/2014/main" id="{DA258F4C-76B4-BA9C-D6C4-819DA3CEEF86}"/>
                </a:ext>
              </a:extLst>
            </xdr:cNvPr>
            <xdr:cNvSpPr/>
          </xdr:nvSpPr>
          <xdr:spPr>
            <a:xfrm>
              <a:off x="1095831" y="1912260"/>
              <a:ext cx="128814" cy="780143"/>
            </a:xfrm>
            <a:prstGeom prst="roundRect">
              <a:avLst>
                <a:gd name="adj" fmla="val 20155"/>
              </a:avLst>
            </a:prstGeom>
            <a:solidFill>
              <a:srgbClr val="76147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2</xdr:col>
      <xdr:colOff>311274</xdr:colOff>
      <xdr:row>12</xdr:row>
      <xdr:rowOff>161861</xdr:rowOff>
    </xdr:from>
    <xdr:to>
      <xdr:col>7</xdr:col>
      <xdr:colOff>585196</xdr:colOff>
      <xdr:row>49</xdr:row>
      <xdr:rowOff>62255</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8B4E3B04-3E28-4966-9666-4FE0967B23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inazor Nwadiaro" refreshedDate="46248.784323842592" createdVersion="8" refreshedVersion="8" minRefreshableVersion="3" recordCount="20">
  <cacheSource type="worksheet">
    <worksheetSource name="NPT"/>
  </cacheSource>
  <cacheFields count="10">
    <cacheField name="Date" numFmtId="166">
      <sharedItems containsSemiMixedTypes="0" containsNonDate="0" containsDate="1" containsString="0" minDate="2026-05-07T00:00:00" maxDate="2026-07-30T00:00:00" count="17">
        <d v="2026-05-07T00:00:00"/>
        <d v="2026-05-11T00:00:00"/>
        <d v="2026-05-14T00:00:00"/>
        <d v="2026-05-19T00:00:00"/>
        <d v="2026-05-27T00:00:00"/>
        <d v="2026-05-31T00:00:00"/>
        <d v="2026-06-05T00:00:00"/>
        <d v="2026-06-13T00:00:00"/>
        <d v="2026-06-18T00:00:00"/>
        <d v="2026-06-19T00:00:00"/>
        <d v="2026-06-22T00:00:00"/>
        <d v="2026-06-27T00:00:00"/>
        <d v="2026-07-04T00:00:00"/>
        <d v="2026-07-05T00:00:00"/>
        <d v="2026-07-12T00:00:00"/>
        <d v="2026-07-26T00:00:00"/>
        <d v="2026-07-29T00:00:00"/>
      </sharedItems>
      <fieldGroup par="9"/>
    </cacheField>
    <cacheField name="Phase" numFmtId="0">
      <sharedItems containsBlank="1" count="9">
        <s v="Conductor Piling/Cleanout"/>
        <s v="17-1/2&quot; x  23&quot; Hole Section"/>
        <s v="16&quot; Hole Section"/>
        <s v="12 1/4&quot; Hole Section"/>
        <s v="Perforation and Wellbore Cleanout"/>
        <s v="Completions"/>
        <m u="1"/>
        <s v="12 1/4 &quot; section" u="1"/>
        <s v="Conductor Cleanout" u="1"/>
      </sharedItems>
    </cacheField>
    <cacheField name="Hours (hr)" numFmtId="2">
      <sharedItems containsSemiMixedTypes="0" containsString="0" containsNumber="1" minValue="0.5" maxValue="140"/>
    </cacheField>
    <cacheField name="Days" numFmtId="2">
      <sharedItems containsSemiMixedTypes="0" containsString="0" containsNumber="1" minValue="2.0833333333333332E-2" maxValue="5.833333333333333"/>
    </cacheField>
    <cacheField name="NPT Cost _x000a_($)" numFmtId="39">
      <sharedItems containsSemiMixedTypes="0" containsString="0" containsNumber="1" minValue="6175.9166666666661" maxValue="1384151.7725041667"/>
    </cacheField>
    <cacheField name="Description" numFmtId="0">
      <sharedItems longText="1"/>
    </cacheField>
    <cacheField name="Category" numFmtId="0">
      <sharedItems containsBlank="1" count="7">
        <s v="Equipment Failure"/>
        <s v="Mud / Solids"/>
        <s v="Mechanical"/>
        <s v="Human Error"/>
        <s v="Cementing"/>
        <s v="Wellhead"/>
        <m u="1"/>
      </sharedItems>
    </cacheField>
    <cacheField name="Responsible Party" numFmtId="0">
      <sharedItems containsBlank="1" count="8">
        <s v="SMS Joy"/>
        <s v="Clinton"/>
        <s v="TBD"/>
        <s v="Geowell"/>
        <s v="Mega Field"/>
        <s v="MultiChase"/>
        <s v="Ulla"/>
        <m u="1"/>
      </sharedItems>
    </cacheField>
    <cacheField name="Days (Date)" numFmtId="0" databaseField="0">
      <fieldGroup base="0">
        <rangePr groupBy="days" startDate="2026-05-07T00:00:00" endDate="2026-07-30T00:00:00"/>
        <groupItems count="368">
          <s v="&lt;5/7/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30/2026"/>
        </groupItems>
      </fieldGroup>
    </cacheField>
    <cacheField name="Months (Date)" numFmtId="0" databaseField="0">
      <fieldGroup base="0">
        <rangePr groupBy="months" startDate="2026-05-07T00:00:00" endDate="2026-07-30T00:00:00"/>
        <groupItems count="14">
          <s v="&lt;5/7/2026"/>
          <s v="Jan"/>
          <s v="Feb"/>
          <s v="Mar"/>
          <s v="Apr"/>
          <s v="May"/>
          <s v="Jun"/>
          <s v="Jul"/>
          <s v="Aug"/>
          <s v="Sep"/>
          <s v="Oct"/>
          <s v="Nov"/>
          <s v="Dec"/>
          <s v="&gt;7/30/2026"/>
        </groupItems>
      </fieldGroup>
    </cacheField>
  </cacheFields>
  <extLst>
    <ext xmlns:x14="http://schemas.microsoft.com/office/spreadsheetml/2009/9/main" uri="{725AE2AE-9491-48be-B2B4-4EB974FC3084}">
      <x14:pivotCacheDefinition pivotCacheId="1229125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n v="0.99999999999999978"/>
    <n v="4.1666666666666657E-2"/>
    <n v="11812.82021083333"/>
    <s v="Operations delayed due to faulty stroke counter while running 23&quot; Rotary BHA; system successfully troubleshot and repaired"/>
    <x v="0"/>
    <x v="0"/>
  </r>
  <r>
    <x v="0"/>
    <x v="0"/>
    <n v="1.5"/>
    <n v="6.25E-2"/>
    <n v="17719.230316249999"/>
    <s v="Observed limited sea-water in pit, POOH 23&quot; Bit 30&quot;-CP Clean-Out Assy T/surface, brk/LD X/Os, 23&quot; bit, bit sub."/>
    <x v="1"/>
    <x v="1"/>
  </r>
  <r>
    <x v="1"/>
    <x v="1"/>
    <n v="23.5"/>
    <n v="0.97916666666666663"/>
    <n v="261104.68780208335"/>
    <s v="Investigated 250 psi pressure drop; tripped pipe (POOH/RIH) to inspect for drill string washouts and bit nozzle integrity."/>
    <x v="2"/>
    <x v="2"/>
  </r>
  <r>
    <x v="2"/>
    <x v="1"/>
    <n v="11.000000000000002"/>
    <n v="0.45833333333333343"/>
    <n v="154575.81734833337"/>
    <s v="Serviced TDS; replaced pipe handler rotating head hydraulic motor, repaired solenoid, and extended cutting chute."/>
    <x v="2"/>
    <x v="0"/>
  </r>
  <r>
    <x v="3"/>
    <x v="1"/>
    <n v="140"/>
    <n v="5.833333333333333"/>
    <n v="1176243.3704733334"/>
    <s v="Mitigated heavy backflow, cleaned out wellbore, and successfully engaged and recovered lost 18-5/8&quot; x 20&quot; casing joints using an ITCO spear fishing assembly; completed a 23&quot; bit clean-out run to bottom prior to re-running  casing"/>
    <x v="3"/>
    <x v="3"/>
  </r>
  <r>
    <x v="4"/>
    <x v="1"/>
    <n v="4.5"/>
    <n v="0.1875"/>
    <n v="58079.607862500008"/>
    <s v="RD Bowel and C-Plate, cut both return lines on 18-5/8&quot; above Rotary, cut false bushing support braces. Torch'd/cut-off flowlines on CP. Meanwhile wait for BOP slings to PU Casing to unset slips."/>
    <x v="0"/>
    <x v="0"/>
  </r>
  <r>
    <x v="5"/>
    <x v="1"/>
    <n v="9.5"/>
    <n v="0.39583333333333331"/>
    <n v="150768.83685604166"/>
    <s v="Operation delayed due to low mud rheology in the 16&quot; hole section; tripped BHA above casing shoe twice to treat, condition, and circulate drilling mud to specification."/>
    <x v="1"/>
    <x v="1"/>
  </r>
  <r>
    <x v="5"/>
    <x v="2"/>
    <n v="25"/>
    <n v="1.0416666666666667"/>
    <n v="307101.13577812497"/>
    <s v="Investigated low standpipe pressure (600 psi @ 750 GPM); checked surface lines/strainers, then POOH to surface to inspect BHA. Laid down 16&quot; mud motor assembly and transitioned to a 16&quot; Rotary BHA pending backup equipment."/>
    <x v="2"/>
    <x v="2"/>
  </r>
  <r>
    <x v="6"/>
    <x v="2"/>
    <n v="11"/>
    <n v="0.45833333333333331"/>
    <n v="135277.12356916667"/>
    <s v="Short-tripped 16&quot; PDC/MM BHA into casing shoe to change out and replace the TDS FH saver sub with an HT55 saver sub"/>
    <x v="2"/>
    <x v="0"/>
  </r>
  <r>
    <x v="7"/>
    <x v="2"/>
    <n v="1.5"/>
    <n v="6.25E-2"/>
    <n v="18472.829787499999"/>
    <s v="Worked on SCR gettting assignment, trouble shooting same &amp; fixed the issue-Ok "/>
    <x v="0"/>
    <x v="0"/>
  </r>
  <r>
    <x v="8"/>
    <x v="2"/>
    <n v="1.0000000000000004"/>
    <n v="4.1666666666666685E-2"/>
    <n v="16551.943246666673"/>
    <s v="Changed out Existing FMS &amp; replaced same with back up FMS -OK."/>
    <x v="0"/>
    <x v="4"/>
  </r>
  <r>
    <x v="9"/>
    <x v="2"/>
    <n v="1.5"/>
    <n v="6.25E-2"/>
    <n v="25995.355449999999"/>
    <s v="Repaired faulty cement head down valve. Dropped bottom plug. Commenced pumping 12.5 ppg lead slurry. Fixed engine fan belt after unit shutdown."/>
    <x v="4"/>
    <x v="5"/>
  </r>
  <r>
    <x v="10"/>
    <x v="2"/>
    <n v="4"/>
    <n v="0.16666666666666666"/>
    <n v="40590.666941666663"/>
    <s v="Attempted to pressure test casing againt cement  to 500psi observed &amp; observed leakage from CHH, Well head engineer work on CHH &amp; Re-tightened CHH bolts-OK."/>
    <x v="5"/>
    <x v="6"/>
  </r>
  <r>
    <x v="11"/>
    <x v="3"/>
    <n v="112.5"/>
    <n v="4.6875"/>
    <n v="1384151.7725041667"/>
    <s v="Encountered a tight spot while pulling out of hole (POOH), performed rig maintenance on the standpipe, IBOP, and TDS, then suffered a pressure spike and lost returns upon running back in hole (RBIH), which required working the stuck string for several hours until pipe movement and full fluid returns were successfully restored before pumping a high-viscosity sweep."/>
    <x v="0"/>
    <x v="0"/>
  </r>
  <r>
    <x v="12"/>
    <x v="3"/>
    <n v="0.5"/>
    <n v="2.0833333333333332E-2"/>
    <n v="6175.9166666666661"/>
    <s v="TDS hydraulic hose leakage"/>
    <x v="0"/>
    <x v="0"/>
  </r>
  <r>
    <x v="13"/>
    <x v="3"/>
    <n v="2.5"/>
    <n v="0.10416666666666667"/>
    <n v="30889.583333333336"/>
    <s v="TDS hydraulic hose leakage"/>
    <x v="0"/>
    <x v="0"/>
  </r>
  <r>
    <x v="13"/>
    <x v="3"/>
    <n v="1"/>
    <n v="4.1666666666666664E-2"/>
    <n v="12355.833333333332"/>
    <s v="Mud pump swab leakage"/>
    <x v="0"/>
    <x v="0"/>
  </r>
  <r>
    <x v="14"/>
    <x v="3"/>
    <n v="3"/>
    <n v="0.125"/>
    <n v="36414.125"/>
    <s v="Attempted to test the bonnet seal, obs'd hydraulic leakage from Annular BOP, troubleshoot fault and obs'd that the plug of the annular BOP drain pulled out fixed the fault. Carried out bonnet test against test plug and annular to 1500psi- ok and POOH test plug."/>
    <x v="0"/>
    <x v="0"/>
  </r>
  <r>
    <x v="15"/>
    <x v="4"/>
    <n v="1"/>
    <n v="4.1666666666666664E-2"/>
    <n v="11273.267070877375"/>
    <s v="Attempted to cont. RIH, Observed faulty brakes/Broken Draw-work caliper pin. Troubleshoot/Fixed same, Ok.    "/>
    <x v="0"/>
    <x v="0"/>
  </r>
  <r>
    <x v="16"/>
    <x v="5"/>
    <n v="3.5"/>
    <n v="0.14583333333333334"/>
    <n v="39456.434748070817"/>
    <s v="Observed Draw-works Low Clutch-Drive chain faulty, Troubleshoot/Fixed Same while cont. monitor well on TT. Loss Rate: 10BBLs/Hr."/>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sponsiblePart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sponsible Party">
  <location ref="T1:U8" firstHeaderRow="1" firstDataRow="1" firstDataCol="1"/>
  <pivotFields count="10">
    <pivotField numFmtId="14" showAll="0">
      <items count="18">
        <item x="0"/>
        <item x="1"/>
        <item x="2"/>
        <item x="3"/>
        <item x="4"/>
        <item x="5"/>
        <item x="6"/>
        <item x="7"/>
        <item x="8"/>
        <item x="9"/>
        <item x="10"/>
        <item x="11"/>
        <item x="12"/>
        <item x="13"/>
        <item x="14"/>
        <item x="15"/>
        <item x="16"/>
        <item t="default"/>
      </items>
    </pivotField>
    <pivotField showAll="0"/>
    <pivotField dataField="1" numFmtId="2" showAll="0"/>
    <pivotField numFmtId="2" showAll="0"/>
    <pivotField showAll="0"/>
    <pivotField showAll="0"/>
    <pivotField showAll="0"/>
    <pivotField axis="axisRow" showAll="0">
      <items count="9">
        <item x="1"/>
        <item x="3"/>
        <item x="0"/>
        <item x="2"/>
        <item m="1" x="7"/>
        <item x="4"/>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i>
    <i>
      <x v="1"/>
    </i>
    <i>
      <x v="2"/>
    </i>
    <i>
      <x v="3"/>
    </i>
    <i>
      <x v="5"/>
    </i>
    <i>
      <x v="6"/>
    </i>
    <i>
      <x v="7"/>
    </i>
  </rowItems>
  <colItems count="1">
    <i/>
  </colItems>
  <dataFields count="1">
    <dataField name="Sum of Hours (hr)" fld="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NPT_byHrs_Cos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H9:J12" firstHeaderRow="0" firstDataRow="1" firstDataCol="1"/>
  <pivotFields count="10">
    <pivotField axis="axisRow" numFmtId="14" showAll="0">
      <items count="18">
        <item x="0"/>
        <item x="1"/>
        <item x="2"/>
        <item x="3"/>
        <item x="4"/>
        <item x="5"/>
        <item x="6"/>
        <item x="7"/>
        <item x="8"/>
        <item x="9"/>
        <item x="10"/>
        <item x="11"/>
        <item x="12"/>
        <item x="13"/>
        <item x="14"/>
        <item x="15"/>
        <item x="16"/>
        <item t="default"/>
      </items>
    </pivotField>
    <pivotField showAll="0"/>
    <pivotField dataField="1" numFmtId="2" showAll="0"/>
    <pivotField numFmtId="2" showAll="0"/>
    <pivotField dataField="1" showAll="0"/>
    <pivotField showAll="0"/>
    <pivotField showAll="0"/>
    <pivotField showAll="0">
      <items count="9">
        <item x="1"/>
        <item x="3"/>
        <item x="4"/>
        <item x="5"/>
        <item x="0"/>
        <item x="2"/>
        <item x="6"/>
        <item m="1" x="7"/>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0"/>
  </rowFields>
  <rowItems count="3">
    <i>
      <x v="5"/>
    </i>
    <i>
      <x v="6"/>
    </i>
    <i>
      <x v="7"/>
    </i>
  </rowItems>
  <colFields count="1">
    <field x="-2"/>
  </colFields>
  <colItems count="2">
    <i>
      <x/>
    </i>
    <i i="1">
      <x v="1"/>
    </i>
  </colItems>
  <dataFields count="2">
    <dataField name="Sum of Hours (hr)" fld="2" baseField="0" baseItem="0" numFmtId="2"/>
    <dataField name="Sum of NPT Cost _x000a_($)"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has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hases">
  <location ref="Z1:AA7" firstHeaderRow="1" firstDataRow="1" firstDataCol="1"/>
  <pivotFields count="10">
    <pivotField numFmtId="14" showAll="0">
      <items count="18">
        <item x="0"/>
        <item x="1"/>
        <item x="2"/>
        <item x="3"/>
        <item x="4"/>
        <item x="5"/>
        <item x="6"/>
        <item x="7"/>
        <item x="8"/>
        <item x="9"/>
        <item x="10"/>
        <item x="11"/>
        <item x="12"/>
        <item x="13"/>
        <item x="14"/>
        <item x="15"/>
        <item x="16"/>
        <item t="default"/>
      </items>
    </pivotField>
    <pivotField axis="axisRow" showAll="0">
      <items count="10">
        <item x="0"/>
        <item x="1"/>
        <item m="1" x="8"/>
        <item m="1" x="6"/>
        <item m="1" x="7"/>
        <item x="2"/>
        <item x="3"/>
        <item x="4"/>
        <item x="5"/>
        <item t="default"/>
      </items>
    </pivotField>
    <pivotField dataField="1" numFmtId="2" showAll="0"/>
    <pivotField numFmtId="2" showAll="0"/>
    <pivotField showAll="0"/>
    <pivotField showAll="0"/>
    <pivotField showAll="0"/>
    <pivotField showAll="0">
      <items count="9">
        <item x="1"/>
        <item x="3"/>
        <item x="4"/>
        <item x="5"/>
        <item x="0"/>
        <item x="2"/>
        <item x="6"/>
        <item m="1"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5"/>
    </i>
    <i>
      <x v="6"/>
    </i>
    <i>
      <x v="7"/>
    </i>
    <i>
      <x v="8"/>
    </i>
  </rowItems>
  <colItems count="1">
    <i/>
  </colItems>
  <dataFields count="1">
    <dataField name="Sum of Hours (hr)" fld="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ategory">
  <location ref="N1:O7" firstHeaderRow="1" firstDataRow="1" firstDataCol="1"/>
  <pivotFields count="10">
    <pivotField numFmtId="14" showAll="0">
      <items count="18">
        <item x="0"/>
        <item x="1"/>
        <item x="2"/>
        <item x="3"/>
        <item x="4"/>
        <item x="5"/>
        <item x="6"/>
        <item x="7"/>
        <item x="8"/>
        <item x="9"/>
        <item x="10"/>
        <item x="11"/>
        <item x="12"/>
        <item x="13"/>
        <item x="14"/>
        <item x="15"/>
        <item x="16"/>
        <item t="default"/>
      </items>
    </pivotField>
    <pivotField showAll="0"/>
    <pivotField dataField="1" numFmtId="2" showAll="0"/>
    <pivotField numFmtId="2" showAll="0"/>
    <pivotField showAll="0"/>
    <pivotField showAll="0"/>
    <pivotField axis="axisRow" showAll="0">
      <items count="8">
        <item x="3"/>
        <item x="0"/>
        <item x="2"/>
        <item x="1"/>
        <item m="1" x="6"/>
        <item x="5"/>
        <item x="4"/>
        <item t="default"/>
      </items>
    </pivotField>
    <pivotField showAll="0">
      <items count="9">
        <item x="1"/>
        <item x="3"/>
        <item x="4"/>
        <item x="5"/>
        <item x="0"/>
        <item x="2"/>
        <item x="6"/>
        <item m="1" x="7"/>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5"/>
    </i>
    <i>
      <x v="6"/>
    </i>
  </rowItems>
  <colItems count="1">
    <i/>
  </colItems>
  <dataFields count="1">
    <dataField name="Sum of Hours (hr)" fld="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sponsible_Party" sourceName="Responsible Party">
  <pivotTables>
    <pivotTable tabId="3" name="NPT_byHrs_Cost"/>
    <pivotTable tabId="3" name="Category"/>
    <pivotTable tabId="3" name="Phases"/>
    <pivotTable tabId="3" name="ResponsibleParty"/>
  </pivotTables>
  <data>
    <tabular pivotCacheId="1229125457">
      <items count="8">
        <i x="1" s="1"/>
        <i x="3" s="1"/>
        <i x="4" s="1"/>
        <i x="5" s="1"/>
        <i x="0" s="1"/>
        <i x="2" s="1"/>
        <i x="6" s="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sponsible Party 1" cache="Slicer_Responsible_Party" caption="Responsible Party" columnCount="3" style="SlicerStyleDark5" rowHeight="251883"/>
</slicers>
</file>

<file path=xl/tables/table1.xml><?xml version="1.0" encoding="utf-8"?>
<table xmlns="http://schemas.openxmlformats.org/spreadsheetml/2006/main" id="2" name="NPT" displayName="NPT" ref="B3:I23" totalsRowShown="0" headerRowDxfId="13" dataDxfId="11" headerRowBorderDxfId="12" tableBorderDxfId="10" totalsRowBorderDxfId="9" headerRowCellStyle="Normal 2">
  <autoFilter ref="B3:I23"/>
  <tableColumns count="8">
    <tableColumn id="1" name="Date" dataDxfId="8"/>
    <tableColumn id="2" name="Phase" dataDxfId="7"/>
    <tableColumn id="3" name="Hours (hr)" dataDxfId="6"/>
    <tableColumn id="4" name="Days" dataDxfId="5"/>
    <tableColumn id="5" name="NPT Cost _x000a_($)" dataDxfId="4" dataCellStyle="Comma">
      <calculatedColumnFormula>(NPT[[#This Row],[Hours (hr)]]/24)*270558.409701057</calculatedColumnFormula>
    </tableColumn>
    <tableColumn id="6" name="Description" dataDxfId="3"/>
    <tableColumn id="7" name="Category" dataDxfId="2"/>
    <tableColumn id="8" name="Responsible Party" dataDxfId="1"/>
  </tableColumns>
  <tableStyleInfo name="TableStyleMedium2" showFirstColumn="0" showLastColumn="0" showRowStripes="1" showColumnStripes="0"/>
</table>
</file>

<file path=xl/tables/table2.xml><?xml version="1.0" encoding="utf-8"?>
<table xmlns="http://schemas.openxmlformats.org/spreadsheetml/2006/main" id="3" name="NPTbyHr_Cost" displayName="NPTbyHr_Cost" ref="H1:J5" totalsRowShown="0">
  <autoFilter ref="H1:J5"/>
  <tableColumns count="3">
    <tableColumn id="1" name="Month" dataDxfId="0"/>
    <tableColumn id="2" name="NPT (Hrs)"/>
    <tableColumn id="3" name="NPT Cos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2"/>
  <sheetViews>
    <sheetView workbookViewId="0">
      <selection activeCell="H17" sqref="H17"/>
    </sheetView>
  </sheetViews>
  <sheetFormatPr defaultRowHeight="13.8"/>
  <cols>
    <col min="2" max="2" width="15" bestFit="1" customWidth="1"/>
    <col min="4" max="4" width="14.796875" customWidth="1"/>
  </cols>
  <sheetData>
    <row r="1" spans="2:10">
      <c r="B1" t="s">
        <v>4</v>
      </c>
    </row>
    <row r="2" spans="2:10">
      <c r="B2" t="s">
        <v>0</v>
      </c>
      <c r="D2" t="s">
        <v>80</v>
      </c>
    </row>
    <row r="3" spans="2:10">
      <c r="B3" s="39">
        <v>46145</v>
      </c>
      <c r="D3" s="39">
        <v>46245.625</v>
      </c>
      <c r="F3">
        <f>D3-B3</f>
        <v>100.625</v>
      </c>
    </row>
    <row r="6" spans="2:10">
      <c r="B6" t="s">
        <v>2</v>
      </c>
    </row>
    <row r="7" spans="2:10">
      <c r="B7" t="s">
        <v>0</v>
      </c>
      <c r="D7" t="s">
        <v>1</v>
      </c>
    </row>
    <row r="8" spans="2:10">
      <c r="B8" s="2">
        <v>46135</v>
      </c>
      <c r="D8" s="2">
        <v>46245.625</v>
      </c>
      <c r="F8">
        <f>D8-B8</f>
        <v>110.625</v>
      </c>
    </row>
    <row r="11" spans="2:10">
      <c r="B11" t="s">
        <v>3</v>
      </c>
      <c r="D11" t="s">
        <v>1</v>
      </c>
    </row>
    <row r="12" spans="2:10">
      <c r="B12" s="2">
        <v>46151.416666666664</v>
      </c>
      <c r="D12" s="2">
        <v>46245.625</v>
      </c>
      <c r="F12">
        <f>D12-B12</f>
        <v>94.208333333335759</v>
      </c>
      <c r="J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42"/>
  <sheetViews>
    <sheetView showGridLines="0" tabSelected="1" workbookViewId="0">
      <pane xSplit="1" ySplit="3" topLeftCell="B4" activePane="bottomRight" state="frozen"/>
      <selection pane="topRight" activeCell="B1" sqref="B1"/>
      <selection pane="bottomLeft" activeCell="A4" sqref="A4"/>
      <selection pane="bottomRight" activeCell="B1" sqref="B1:I1"/>
    </sheetView>
  </sheetViews>
  <sheetFormatPr defaultRowHeight="13.8"/>
  <cols>
    <col min="1" max="1" width="6.796875" customWidth="1"/>
    <col min="2" max="2" width="13.19921875" style="30" customWidth="1"/>
    <col min="3" max="3" width="37.09765625" style="3" customWidth="1"/>
    <col min="4" max="4" width="11.796875" customWidth="1"/>
    <col min="6" max="6" width="25.5" customWidth="1"/>
    <col min="7" max="7" width="60.19921875" style="3" customWidth="1"/>
    <col min="8" max="8" width="17" customWidth="1"/>
    <col min="9" max="9" width="22.5" customWidth="1"/>
  </cols>
  <sheetData>
    <row r="1" spans="2:9" ht="28.2">
      <c r="B1" s="40" t="s">
        <v>67</v>
      </c>
      <c r="C1" s="40"/>
      <c r="D1" s="40"/>
      <c r="E1" s="40"/>
      <c r="F1" s="40"/>
      <c r="G1" s="40"/>
      <c r="H1" s="40"/>
      <c r="I1" s="40"/>
    </row>
    <row r="2" spans="2:9" ht="6" customHeight="1"/>
    <row r="3" spans="2:9" ht="40.950000000000003" customHeight="1">
      <c r="B3" s="31" t="s">
        <v>5</v>
      </c>
      <c r="C3" s="10" t="s">
        <v>57</v>
      </c>
      <c r="D3" s="11" t="s">
        <v>6</v>
      </c>
      <c r="E3" s="12" t="s">
        <v>7</v>
      </c>
      <c r="F3" s="12" t="s">
        <v>56</v>
      </c>
      <c r="G3" s="10" t="s">
        <v>8</v>
      </c>
      <c r="H3" s="12" t="s">
        <v>10</v>
      </c>
      <c r="I3" s="13" t="s">
        <v>32</v>
      </c>
    </row>
    <row r="4" spans="2:9" ht="37.799999999999997" customHeight="1">
      <c r="B4" s="32">
        <v>46149</v>
      </c>
      <c r="C4" s="16" t="s">
        <v>62</v>
      </c>
      <c r="D4" s="15">
        <v>0.99999999999999978</v>
      </c>
      <c r="E4" s="15">
        <f>NPT[[#This Row],[Hours (hr)]]/24</f>
        <v>4.1666666666666657E-2</v>
      </c>
      <c r="F4" s="22">
        <f>(NPT[[#This Row],[Hours (hr)]]/24)*283507.68506</f>
        <v>11812.82021083333</v>
      </c>
      <c r="G4" s="14" t="s">
        <v>33</v>
      </c>
      <c r="H4" s="19" t="s">
        <v>39</v>
      </c>
      <c r="I4" s="20" t="s">
        <v>42</v>
      </c>
    </row>
    <row r="5" spans="2:9" ht="45" customHeight="1">
      <c r="B5" s="32">
        <v>46149</v>
      </c>
      <c r="C5" s="16" t="s">
        <v>62</v>
      </c>
      <c r="D5" s="15">
        <v>1.5</v>
      </c>
      <c r="E5" s="15">
        <f>NPT[[#This Row],[Hours (hr)]]/24</f>
        <v>6.25E-2</v>
      </c>
      <c r="F5" s="22">
        <f>(NPT[[#This Row],[Hours (hr)]]/24)*283507.68506</f>
        <v>17719.230316249999</v>
      </c>
      <c r="G5" s="16" t="s">
        <v>9</v>
      </c>
      <c r="H5" s="19" t="s">
        <v>24</v>
      </c>
      <c r="I5" s="20" t="s">
        <v>46</v>
      </c>
    </row>
    <row r="6" spans="2:9" ht="46.95" customHeight="1">
      <c r="B6" s="32">
        <v>46153</v>
      </c>
      <c r="C6" s="14" t="s">
        <v>59</v>
      </c>
      <c r="D6" s="15">
        <v>23.5</v>
      </c>
      <c r="E6" s="15">
        <f>NPT[[#This Row],[Hours (hr)]]/24</f>
        <v>0.97916666666666663</v>
      </c>
      <c r="F6" s="22">
        <f>((18.5/24)*286049.2285) + ((5/24)*194920.356)</f>
        <v>261104.68780208335</v>
      </c>
      <c r="G6" s="14" t="s">
        <v>34</v>
      </c>
      <c r="H6" s="19" t="s">
        <v>20</v>
      </c>
      <c r="I6" s="20" t="s">
        <v>52</v>
      </c>
    </row>
    <row r="7" spans="2:9" ht="31.95" customHeight="1">
      <c r="B7" s="32">
        <v>46156</v>
      </c>
      <c r="C7" s="14" t="s">
        <v>59</v>
      </c>
      <c r="D7" s="15">
        <v>11.000000000000002</v>
      </c>
      <c r="E7" s="15">
        <f>NPT[[#This Row],[Hours (hr)]]/24</f>
        <v>0.45833333333333343</v>
      </c>
      <c r="F7" s="22">
        <f>(NPT[[#This Row],[Hours (hr)]]/24)*337256.32876</f>
        <v>154575.81734833337</v>
      </c>
      <c r="G7" s="14" t="s">
        <v>35</v>
      </c>
      <c r="H7" s="19" t="s">
        <v>20</v>
      </c>
      <c r="I7" s="17" t="s">
        <v>42</v>
      </c>
    </row>
    <row r="8" spans="2:9" ht="65.400000000000006" customHeight="1">
      <c r="B8" s="32">
        <v>46161</v>
      </c>
      <c r="C8" s="14" t="s">
        <v>59</v>
      </c>
      <c r="D8" s="15">
        <v>140</v>
      </c>
      <c r="E8" s="15">
        <f>NPT[[#This Row],[Hours (hr)]]/24</f>
        <v>5.833333333333333</v>
      </c>
      <c r="F8" s="22">
        <f>((20/24)*199416.37114) + ((24/24)*199804.4005)+ ((24/24)*204161.28514)+ ((24/24)*201378.9341)+ ((24/24)*202844.87285)+ ((24/24)*201873.5686)</f>
        <v>1176243.3704733334</v>
      </c>
      <c r="G8" s="14" t="s">
        <v>58</v>
      </c>
      <c r="H8" s="19" t="s">
        <v>30</v>
      </c>
      <c r="I8" s="20" t="s">
        <v>51</v>
      </c>
    </row>
    <row r="9" spans="2:9" ht="46.95" customHeight="1">
      <c r="B9" s="32">
        <v>46169</v>
      </c>
      <c r="C9" s="14" t="s">
        <v>59</v>
      </c>
      <c r="D9" s="15">
        <v>4.5</v>
      </c>
      <c r="E9" s="15">
        <f>NPT[[#This Row],[Hours (hr)]]/24</f>
        <v>0.1875</v>
      </c>
      <c r="F9" s="22">
        <f>(NPT[[#This Row],[Hours (hr)]]/24)*309757.9086</f>
        <v>58079.607862500008</v>
      </c>
      <c r="G9" s="14" t="s">
        <v>54</v>
      </c>
      <c r="H9" s="19" t="s">
        <v>39</v>
      </c>
      <c r="I9" s="20" t="s">
        <v>42</v>
      </c>
    </row>
    <row r="10" spans="2:9" ht="48" customHeight="1">
      <c r="B10" s="32">
        <v>46173</v>
      </c>
      <c r="C10" s="14" t="s">
        <v>59</v>
      </c>
      <c r="D10" s="15">
        <v>9.5</v>
      </c>
      <c r="E10" s="15">
        <f>NPT[[#This Row],[Hours (hr)]]/24</f>
        <v>0.39583333333333331</v>
      </c>
      <c r="F10" s="23">
        <f>(NPT[[#This Row],[Hours (hr)]]/24)*380889.69311</f>
        <v>150768.83685604166</v>
      </c>
      <c r="G10" s="14" t="s">
        <v>36</v>
      </c>
      <c r="H10" s="19" t="s">
        <v>24</v>
      </c>
      <c r="I10" s="17" t="s">
        <v>46</v>
      </c>
    </row>
    <row r="11" spans="2:9" ht="79.8" customHeight="1">
      <c r="B11" s="32">
        <v>46173</v>
      </c>
      <c r="C11" s="16" t="s">
        <v>60</v>
      </c>
      <c r="D11" s="15">
        <v>25</v>
      </c>
      <c r="E11" s="15">
        <f>NPT[[#This Row],[Hours (hr)]]/24</f>
        <v>1.0416666666666667</v>
      </c>
      <c r="F11" s="23">
        <f>((7.5/24)*380889.69311) + ((17.5/24)*257928.83202)</f>
        <v>307101.13577812497</v>
      </c>
      <c r="G11" s="16" t="s">
        <v>37</v>
      </c>
      <c r="H11" s="19" t="s">
        <v>20</v>
      </c>
      <c r="I11" s="20" t="s">
        <v>52</v>
      </c>
    </row>
    <row r="12" spans="2:9" ht="38.4" customHeight="1">
      <c r="B12" s="32">
        <v>46178</v>
      </c>
      <c r="C12" s="16" t="s">
        <v>60</v>
      </c>
      <c r="D12" s="15">
        <v>11</v>
      </c>
      <c r="E12" s="15">
        <f>NPT[[#This Row],[Hours (hr)]]/24</f>
        <v>0.45833333333333331</v>
      </c>
      <c r="F12" s="23">
        <f>((5/24)*341772.7769) + ((6/24)*256297.84686)</f>
        <v>135277.12356916667</v>
      </c>
      <c r="G12" s="14" t="s">
        <v>38</v>
      </c>
      <c r="H12" s="19" t="s">
        <v>20</v>
      </c>
      <c r="I12" s="17" t="s">
        <v>42</v>
      </c>
    </row>
    <row r="13" spans="2:9" ht="41.4" customHeight="1">
      <c r="B13" s="32">
        <v>46186</v>
      </c>
      <c r="C13" s="16" t="s">
        <v>60</v>
      </c>
      <c r="D13" s="15">
        <v>1.5</v>
      </c>
      <c r="E13" s="15">
        <f>NPT[[#This Row],[Hours (hr)]]/24</f>
        <v>6.25E-2</v>
      </c>
      <c r="F13" s="23">
        <f>(NPT[[#This Row],[Hours (hr)]]/24)*295565.2766</f>
        <v>18472.829787499999</v>
      </c>
      <c r="G13" s="14" t="s">
        <v>53</v>
      </c>
      <c r="H13" s="19" t="s">
        <v>39</v>
      </c>
      <c r="I13" s="20" t="s">
        <v>42</v>
      </c>
    </row>
    <row r="14" spans="2:9">
      <c r="B14" s="33">
        <v>46191</v>
      </c>
      <c r="C14" s="14" t="s">
        <v>60</v>
      </c>
      <c r="D14" s="15">
        <v>1.0000000000000004</v>
      </c>
      <c r="E14" s="15">
        <f>NPT[[#This Row],[Hours (hr)]]/24</f>
        <v>4.1666666666666685E-2</v>
      </c>
      <c r="F14" s="23">
        <f>(NPT[[#This Row],[Hours (hr)]]/24)*397246.63792</f>
        <v>16551.943246666673</v>
      </c>
      <c r="G14" s="14" t="s">
        <v>68</v>
      </c>
      <c r="H14" s="19" t="s">
        <v>39</v>
      </c>
      <c r="I14" s="20" t="s">
        <v>49</v>
      </c>
    </row>
    <row r="15" spans="2:9" ht="41.4">
      <c r="B15" s="33">
        <v>46192</v>
      </c>
      <c r="C15" s="14" t="s">
        <v>60</v>
      </c>
      <c r="D15" s="15">
        <v>1.5</v>
      </c>
      <c r="E15" s="15">
        <f>NPT[[#This Row],[Hours (hr)]]/24</f>
        <v>6.25E-2</v>
      </c>
      <c r="F15" s="23">
        <f>(NPT[[#This Row],[Hours (hr)]]/24)*415925.6872</f>
        <v>25995.355449999999</v>
      </c>
      <c r="G15" s="14" t="s">
        <v>69</v>
      </c>
      <c r="H15" s="19" t="s">
        <v>25</v>
      </c>
      <c r="I15" s="20" t="s">
        <v>45</v>
      </c>
    </row>
    <row r="16" spans="2:9" ht="41.4">
      <c r="B16" s="33">
        <v>46195</v>
      </c>
      <c r="C16" s="14" t="s">
        <v>60</v>
      </c>
      <c r="D16" s="15">
        <v>4</v>
      </c>
      <c r="E16" s="15">
        <f>NPT[[#This Row],[Hours (hr)]]/24</f>
        <v>0.16666666666666666</v>
      </c>
      <c r="F16" s="23">
        <f>(NPT[[#This Row],[Hours (hr)]]/24)*243544.00165</f>
        <v>40590.666941666663</v>
      </c>
      <c r="G16" s="14" t="s">
        <v>70</v>
      </c>
      <c r="H16" s="19" t="s">
        <v>74</v>
      </c>
      <c r="I16" s="20" t="s">
        <v>73</v>
      </c>
    </row>
    <row r="17" spans="2:9" ht="82.8">
      <c r="B17" s="33">
        <v>46200</v>
      </c>
      <c r="C17" s="14" t="s">
        <v>71</v>
      </c>
      <c r="D17" s="15">
        <v>112.5</v>
      </c>
      <c r="E17" s="15">
        <f>NPT[[#This Row],[Hours (hr)]]/24</f>
        <v>4.6875</v>
      </c>
      <c r="F17" s="23">
        <f>((19/24)*290459.8179) + (893155)+ ((21.5/24)*291404)</f>
        <v>1384151.7725041667</v>
      </c>
      <c r="G17" s="14" t="s">
        <v>72</v>
      </c>
      <c r="H17" s="19" t="s">
        <v>39</v>
      </c>
      <c r="I17" s="20" t="s">
        <v>42</v>
      </c>
    </row>
    <row r="18" spans="2:9">
      <c r="B18" s="33">
        <v>46207</v>
      </c>
      <c r="C18" s="25" t="s">
        <v>71</v>
      </c>
      <c r="D18" s="26">
        <v>0.5</v>
      </c>
      <c r="E18" s="15">
        <f>NPT[[#This Row],[Hours (hr)]]/24</f>
        <v>2.0833333333333332E-2</v>
      </c>
      <c r="F18" s="27">
        <f>(NPT[[#This Row],[Hours (hr)]]/24)*296444</f>
        <v>6175.9166666666661</v>
      </c>
      <c r="G18" s="14" t="s">
        <v>75</v>
      </c>
      <c r="H18" s="28" t="s">
        <v>39</v>
      </c>
      <c r="I18" s="29" t="s">
        <v>42</v>
      </c>
    </row>
    <row r="19" spans="2:9">
      <c r="B19" s="33">
        <v>46208</v>
      </c>
      <c r="C19" s="25" t="s">
        <v>71</v>
      </c>
      <c r="D19" s="15">
        <v>2.5</v>
      </c>
      <c r="E19" s="15">
        <f>NPT[[#This Row],[Hours (hr)]]/24</f>
        <v>0.10416666666666667</v>
      </c>
      <c r="F19" s="22">
        <f>(NPT[[#This Row],[Hours (hr)]]/24)*296540</f>
        <v>30889.583333333336</v>
      </c>
      <c r="G19" s="14" t="s">
        <v>75</v>
      </c>
      <c r="H19" s="19" t="s">
        <v>39</v>
      </c>
      <c r="I19" s="20" t="s">
        <v>42</v>
      </c>
    </row>
    <row r="20" spans="2:9">
      <c r="B20" s="33">
        <v>46208</v>
      </c>
      <c r="C20" s="25" t="s">
        <v>71</v>
      </c>
      <c r="D20" s="15">
        <v>1</v>
      </c>
      <c r="E20" s="15">
        <f>NPT[[#This Row],[Hours (hr)]]/24</f>
        <v>4.1666666666666664E-2</v>
      </c>
      <c r="F20" s="22">
        <f>(NPT[[#This Row],[Hours (hr)]]/24)*296540</f>
        <v>12355.833333333332</v>
      </c>
      <c r="G20" s="14" t="s">
        <v>76</v>
      </c>
      <c r="H20" s="19" t="s">
        <v>39</v>
      </c>
      <c r="I20" s="20" t="s">
        <v>42</v>
      </c>
    </row>
    <row r="21" spans="2:9" ht="55.2">
      <c r="B21" s="33">
        <v>46215</v>
      </c>
      <c r="C21" s="25" t="s">
        <v>71</v>
      </c>
      <c r="D21" s="15">
        <v>3</v>
      </c>
      <c r="E21" s="15">
        <f>NPT[[#This Row],[Hours (hr)]]/24</f>
        <v>0.125</v>
      </c>
      <c r="F21" s="22">
        <f>(NPT[[#This Row],[Hours (hr)]]/24)*291313</f>
        <v>36414.125</v>
      </c>
      <c r="G21" s="14" t="s">
        <v>77</v>
      </c>
      <c r="H21" s="19" t="s">
        <v>39</v>
      </c>
      <c r="I21" s="20" t="s">
        <v>42</v>
      </c>
    </row>
    <row r="22" spans="2:9" ht="27.6">
      <c r="B22" s="33">
        <v>46229</v>
      </c>
      <c r="C22" s="14" t="s">
        <v>81</v>
      </c>
      <c r="D22" s="15">
        <v>1</v>
      </c>
      <c r="E22" s="15">
        <f>NPT[[#This Row],[Hours (hr)]]/24</f>
        <v>4.1666666666666664E-2</v>
      </c>
      <c r="F22" s="22">
        <f>(NPT[[#This Row],[Hours (hr)]]/24)*270558.409701057</f>
        <v>11273.267070877375</v>
      </c>
      <c r="G22" s="14" t="s">
        <v>82</v>
      </c>
      <c r="H22" s="19" t="s">
        <v>39</v>
      </c>
      <c r="I22" s="20" t="s">
        <v>42</v>
      </c>
    </row>
    <row r="23" spans="2:9" ht="27.6">
      <c r="B23" s="33">
        <v>46232</v>
      </c>
      <c r="C23" s="14" t="s">
        <v>84</v>
      </c>
      <c r="D23" s="15">
        <v>3.5</v>
      </c>
      <c r="E23" s="15">
        <f>NPT[[#This Row],[Hours (hr)]]/24</f>
        <v>0.14583333333333334</v>
      </c>
      <c r="F23" s="22">
        <f>(NPT[[#This Row],[Hours (hr)]]/24)*270558.409701057</f>
        <v>39456.434748070817</v>
      </c>
      <c r="G23" s="14" t="s">
        <v>83</v>
      </c>
      <c r="H23" s="19" t="s">
        <v>39</v>
      </c>
      <c r="I23" s="20" t="s">
        <v>42</v>
      </c>
    </row>
    <row r="24" spans="2:9">
      <c r="B24" s="34"/>
      <c r="C24" s="18"/>
      <c r="D24" s="18"/>
      <c r="E24" s="18"/>
      <c r="F24" s="18"/>
      <c r="G24" s="18"/>
      <c r="H24" s="18"/>
      <c r="I24" s="18"/>
    </row>
    <row r="25" spans="2:9">
      <c r="B25" s="34"/>
      <c r="C25" s="18"/>
      <c r="D25" s="18"/>
      <c r="E25" s="18"/>
      <c r="F25" s="18"/>
      <c r="G25" s="18"/>
      <c r="H25" s="18"/>
      <c r="I25" s="18"/>
    </row>
    <row r="26" spans="2:9">
      <c r="B26" s="34"/>
      <c r="C26" s="18"/>
      <c r="D26" s="18"/>
      <c r="E26" s="18"/>
      <c r="F26" s="18"/>
      <c r="G26" s="18"/>
      <c r="H26" s="18"/>
      <c r="I26" s="18"/>
    </row>
    <row r="27" spans="2:9">
      <c r="B27" s="34"/>
      <c r="C27" s="18"/>
      <c r="D27" s="18"/>
      <c r="E27" s="18"/>
      <c r="F27" s="18"/>
      <c r="G27" s="18"/>
      <c r="H27" s="18"/>
      <c r="I27" s="18"/>
    </row>
    <row r="28" spans="2:9">
      <c r="B28" s="34"/>
      <c r="C28" s="18"/>
      <c r="D28" s="18"/>
      <c r="E28" s="18"/>
      <c r="F28" s="18"/>
      <c r="G28" s="18"/>
      <c r="H28" s="18"/>
      <c r="I28" s="18"/>
    </row>
    <row r="29" spans="2:9">
      <c r="B29" s="34"/>
      <c r="C29" s="18"/>
      <c r="D29" s="18"/>
      <c r="E29" s="18"/>
      <c r="F29" s="18"/>
      <c r="G29" s="18"/>
      <c r="H29" s="18"/>
      <c r="I29" s="18"/>
    </row>
    <row r="30" spans="2:9">
      <c r="B30" s="34"/>
      <c r="C30" s="18"/>
      <c r="D30" s="18"/>
      <c r="E30" s="18"/>
      <c r="F30" s="18"/>
      <c r="G30" s="18"/>
      <c r="H30" s="18"/>
      <c r="I30" s="18"/>
    </row>
    <row r="31" spans="2:9">
      <c r="B31" s="34"/>
      <c r="C31" s="18"/>
      <c r="D31" s="18"/>
      <c r="E31" s="18"/>
      <c r="F31" s="18"/>
      <c r="G31" s="18"/>
      <c r="H31" s="18"/>
      <c r="I31" s="18"/>
    </row>
    <row r="32" spans="2:9">
      <c r="B32" s="34"/>
      <c r="C32" s="18"/>
      <c r="D32" s="18"/>
      <c r="E32" s="18"/>
      <c r="F32" s="18"/>
      <c r="G32" s="18"/>
      <c r="H32" s="18"/>
      <c r="I32" s="18"/>
    </row>
    <row r="33" spans="2:9">
      <c r="B33" s="34"/>
      <c r="C33" s="18"/>
      <c r="D33" s="18"/>
      <c r="E33" s="18"/>
      <c r="F33" s="18"/>
      <c r="G33" s="18"/>
      <c r="H33" s="18"/>
      <c r="I33" s="18"/>
    </row>
    <row r="34" spans="2:9">
      <c r="B34" s="34"/>
      <c r="C34" s="18"/>
      <c r="D34" s="18"/>
      <c r="E34" s="18"/>
      <c r="F34" s="18"/>
      <c r="G34" s="18"/>
      <c r="H34" s="18"/>
      <c r="I34" s="18"/>
    </row>
    <row r="35" spans="2:9">
      <c r="B35" s="34"/>
      <c r="C35" s="18"/>
      <c r="D35" s="18"/>
      <c r="E35" s="18"/>
      <c r="F35" s="18"/>
      <c r="G35" s="18"/>
      <c r="H35" s="18"/>
      <c r="I35" s="18"/>
    </row>
    <row r="36" spans="2:9">
      <c r="B36" s="34"/>
      <c r="C36" s="18"/>
      <c r="D36" s="18"/>
      <c r="E36" s="18"/>
      <c r="F36" s="18"/>
      <c r="G36" s="18"/>
      <c r="H36" s="18"/>
      <c r="I36" s="18"/>
    </row>
    <row r="37" spans="2:9">
      <c r="B37" s="34"/>
      <c r="C37" s="18"/>
      <c r="D37" s="18"/>
      <c r="E37" s="18"/>
      <c r="F37" s="18"/>
      <c r="G37" s="18"/>
      <c r="H37" s="18"/>
      <c r="I37" s="18"/>
    </row>
    <row r="38" spans="2:9">
      <c r="B38" s="34"/>
      <c r="C38" s="18"/>
      <c r="D38" s="18"/>
      <c r="E38" s="18"/>
      <c r="F38" s="18"/>
      <c r="G38" s="18"/>
      <c r="H38" s="18"/>
      <c r="I38" s="18"/>
    </row>
    <row r="39" spans="2:9">
      <c r="B39" s="34"/>
      <c r="C39" s="18"/>
      <c r="D39" s="18"/>
      <c r="E39" s="18"/>
      <c r="F39" s="18"/>
      <c r="G39" s="18"/>
      <c r="H39" s="18"/>
      <c r="I39" s="18"/>
    </row>
    <row r="40" spans="2:9">
      <c r="B40" s="34"/>
      <c r="C40" s="18"/>
      <c r="D40" s="18"/>
      <c r="E40" s="18"/>
      <c r="F40" s="18"/>
      <c r="G40" s="18"/>
      <c r="H40" s="18"/>
      <c r="I40" s="18"/>
    </row>
    <row r="41" spans="2:9">
      <c r="B41" s="34"/>
      <c r="C41" s="18"/>
      <c r="D41" s="18"/>
      <c r="E41" s="18"/>
      <c r="F41" s="18"/>
      <c r="G41" s="18"/>
      <c r="H41" s="18"/>
      <c r="I41" s="18"/>
    </row>
    <row r="42" spans="2:9">
      <c r="B42" s="34"/>
      <c r="C42" s="18"/>
      <c r="D42" s="18"/>
      <c r="E42" s="18"/>
      <c r="F42" s="18"/>
      <c r="G42" s="18"/>
      <c r="H42" s="18"/>
      <c r="I42" s="18"/>
    </row>
    <row r="43" spans="2:9">
      <c r="B43" s="34"/>
      <c r="C43" s="18"/>
      <c r="D43" s="18"/>
      <c r="E43" s="18"/>
      <c r="F43" s="18"/>
      <c r="G43" s="18"/>
      <c r="H43" s="18"/>
      <c r="I43" s="18"/>
    </row>
    <row r="44" spans="2:9">
      <c r="B44" s="34"/>
      <c r="C44" s="18"/>
      <c r="D44" s="18"/>
      <c r="E44" s="18"/>
      <c r="F44" s="18"/>
      <c r="G44" s="18"/>
      <c r="H44" s="18"/>
      <c r="I44" s="18"/>
    </row>
    <row r="45" spans="2:9">
      <c r="B45" s="34"/>
      <c r="C45" s="18"/>
      <c r="D45" s="18"/>
      <c r="E45" s="18"/>
      <c r="F45" s="18"/>
      <c r="G45" s="18"/>
      <c r="H45" s="18"/>
      <c r="I45" s="18"/>
    </row>
    <row r="46" spans="2:9">
      <c r="B46" s="34"/>
      <c r="C46" s="18"/>
      <c r="D46" s="18"/>
      <c r="E46" s="18"/>
      <c r="F46" s="18"/>
      <c r="G46" s="18"/>
      <c r="H46" s="18"/>
      <c r="I46" s="18"/>
    </row>
    <row r="47" spans="2:9">
      <c r="B47" s="34"/>
      <c r="C47" s="18"/>
      <c r="D47" s="18"/>
      <c r="E47" s="18"/>
      <c r="F47" s="18"/>
      <c r="G47" s="18"/>
      <c r="H47" s="18"/>
      <c r="I47" s="18"/>
    </row>
    <row r="48" spans="2:9">
      <c r="B48" s="34"/>
      <c r="C48" s="18"/>
      <c r="D48" s="18"/>
      <c r="E48" s="18"/>
      <c r="F48" s="18"/>
      <c r="G48" s="18"/>
      <c r="H48" s="18"/>
      <c r="I48" s="18"/>
    </row>
    <row r="49" spans="2:9">
      <c r="B49" s="34"/>
      <c r="C49" s="18"/>
      <c r="D49" s="18"/>
      <c r="E49" s="18"/>
      <c r="F49" s="18"/>
      <c r="G49" s="18"/>
      <c r="H49" s="18"/>
      <c r="I49" s="18"/>
    </row>
    <row r="50" spans="2:9">
      <c r="B50" s="34"/>
      <c r="C50" s="18"/>
      <c r="D50" s="18"/>
      <c r="E50" s="18"/>
      <c r="F50" s="18"/>
      <c r="G50" s="18"/>
      <c r="H50" s="18"/>
      <c r="I50" s="18"/>
    </row>
    <row r="51" spans="2:9">
      <c r="B51" s="34"/>
      <c r="C51" s="18"/>
      <c r="D51" s="18"/>
      <c r="E51" s="18"/>
      <c r="F51" s="18"/>
      <c r="G51" s="18"/>
      <c r="H51" s="18"/>
      <c r="I51" s="18"/>
    </row>
    <row r="52" spans="2:9">
      <c r="B52" s="34"/>
      <c r="C52" s="18"/>
      <c r="D52" s="18"/>
      <c r="E52" s="18"/>
      <c r="F52" s="18"/>
      <c r="G52" s="18"/>
      <c r="H52" s="18"/>
      <c r="I52" s="18"/>
    </row>
    <row r="53" spans="2:9">
      <c r="B53" s="34"/>
      <c r="C53" s="18"/>
      <c r="D53" s="18"/>
      <c r="E53" s="18"/>
      <c r="F53" s="18"/>
      <c r="G53" s="18"/>
      <c r="H53" s="18"/>
      <c r="I53" s="18"/>
    </row>
    <row r="54" spans="2:9">
      <c r="B54" s="34"/>
      <c r="C54" s="18"/>
      <c r="D54" s="18"/>
      <c r="E54" s="18"/>
      <c r="F54" s="18"/>
      <c r="G54" s="18"/>
      <c r="H54" s="18"/>
      <c r="I54" s="18"/>
    </row>
    <row r="55" spans="2:9">
      <c r="B55" s="34"/>
      <c r="C55" s="18"/>
      <c r="D55" s="18"/>
      <c r="E55" s="18"/>
      <c r="F55" s="18"/>
      <c r="G55" s="18"/>
      <c r="H55" s="18"/>
      <c r="I55" s="18"/>
    </row>
    <row r="56" spans="2:9">
      <c r="B56" s="34"/>
      <c r="C56" s="18"/>
      <c r="D56" s="18"/>
      <c r="E56" s="18"/>
      <c r="F56" s="18"/>
      <c r="G56" s="18"/>
      <c r="H56" s="18"/>
      <c r="I56" s="18"/>
    </row>
    <row r="57" spans="2:9">
      <c r="B57" s="34"/>
      <c r="C57" s="18"/>
      <c r="D57" s="18"/>
      <c r="E57" s="18"/>
      <c r="F57" s="18"/>
      <c r="G57" s="18"/>
      <c r="H57" s="18"/>
      <c r="I57" s="18"/>
    </row>
    <row r="58" spans="2:9">
      <c r="B58" s="34"/>
      <c r="C58" s="18"/>
      <c r="D58" s="18"/>
      <c r="E58" s="18"/>
      <c r="F58" s="18"/>
      <c r="G58" s="18"/>
      <c r="H58" s="18"/>
      <c r="I58" s="18"/>
    </row>
    <row r="59" spans="2:9">
      <c r="B59" s="34"/>
      <c r="C59" s="18"/>
      <c r="D59" s="18"/>
      <c r="E59" s="18"/>
      <c r="F59" s="18"/>
      <c r="G59" s="18"/>
      <c r="H59" s="18"/>
      <c r="I59" s="18"/>
    </row>
    <row r="60" spans="2:9">
      <c r="B60" s="34"/>
      <c r="C60" s="18"/>
      <c r="D60" s="18"/>
      <c r="E60" s="18"/>
      <c r="F60" s="18"/>
      <c r="G60" s="18"/>
      <c r="H60" s="18"/>
      <c r="I60" s="18"/>
    </row>
    <row r="61" spans="2:9">
      <c r="B61" s="34"/>
      <c r="C61" s="18"/>
      <c r="D61" s="18"/>
      <c r="E61" s="18"/>
      <c r="F61" s="18"/>
      <c r="G61" s="18"/>
      <c r="H61" s="18"/>
      <c r="I61" s="18"/>
    </row>
    <row r="62" spans="2:9">
      <c r="B62" s="34"/>
      <c r="C62" s="18"/>
      <c r="D62" s="18"/>
      <c r="E62" s="18"/>
      <c r="F62" s="18"/>
      <c r="G62" s="18"/>
      <c r="H62" s="18"/>
      <c r="I62" s="18"/>
    </row>
    <row r="63" spans="2:9">
      <c r="B63" s="34"/>
      <c r="C63" s="18"/>
      <c r="D63" s="18"/>
      <c r="E63" s="18"/>
      <c r="F63" s="18"/>
      <c r="G63" s="18"/>
      <c r="H63" s="18"/>
      <c r="I63" s="18"/>
    </row>
    <row r="64" spans="2:9">
      <c r="B64" s="34"/>
      <c r="C64" s="18"/>
      <c r="D64" s="18"/>
      <c r="E64" s="18"/>
      <c r="F64" s="18"/>
      <c r="G64" s="18"/>
      <c r="H64" s="18"/>
      <c r="I64" s="18"/>
    </row>
    <row r="65" spans="2:9">
      <c r="B65" s="34"/>
      <c r="C65" s="18"/>
      <c r="D65" s="18"/>
      <c r="E65" s="18"/>
      <c r="F65" s="18"/>
      <c r="G65" s="18"/>
      <c r="H65" s="18"/>
      <c r="I65" s="18"/>
    </row>
    <row r="66" spans="2:9">
      <c r="B66" s="34"/>
      <c r="C66" s="18"/>
      <c r="D66" s="18"/>
      <c r="E66" s="18"/>
      <c r="F66" s="18"/>
      <c r="G66" s="18"/>
      <c r="H66" s="18"/>
      <c r="I66" s="18"/>
    </row>
    <row r="67" spans="2:9">
      <c r="B67" s="34"/>
      <c r="C67" s="18"/>
      <c r="D67" s="18"/>
      <c r="E67" s="18"/>
      <c r="F67" s="18"/>
      <c r="G67" s="18"/>
      <c r="H67" s="18"/>
      <c r="I67" s="18"/>
    </row>
    <row r="68" spans="2:9">
      <c r="B68" s="34"/>
      <c r="C68" s="18"/>
      <c r="D68" s="18"/>
      <c r="E68" s="18"/>
      <c r="F68" s="18"/>
      <c r="G68" s="18"/>
      <c r="H68" s="18"/>
      <c r="I68" s="18"/>
    </row>
    <row r="69" spans="2:9">
      <c r="B69" s="34"/>
      <c r="C69" s="18"/>
      <c r="D69" s="18"/>
      <c r="E69" s="18"/>
      <c r="F69" s="18"/>
      <c r="G69" s="18"/>
      <c r="H69" s="18"/>
      <c r="I69" s="18"/>
    </row>
    <row r="70" spans="2:9">
      <c r="B70" s="34"/>
      <c r="C70" s="18"/>
      <c r="D70" s="18"/>
      <c r="E70" s="18"/>
      <c r="F70" s="18"/>
      <c r="G70" s="18"/>
      <c r="H70" s="18"/>
      <c r="I70" s="18"/>
    </row>
    <row r="71" spans="2:9">
      <c r="B71" s="34"/>
      <c r="C71" s="18"/>
      <c r="D71" s="18"/>
      <c r="E71" s="18"/>
      <c r="F71" s="18"/>
      <c r="G71" s="18"/>
      <c r="H71" s="18"/>
      <c r="I71" s="18"/>
    </row>
    <row r="72" spans="2:9">
      <c r="B72" s="34"/>
      <c r="C72" s="18"/>
      <c r="D72" s="18"/>
      <c r="E72" s="18"/>
      <c r="F72" s="18"/>
      <c r="G72" s="18"/>
      <c r="H72" s="18"/>
      <c r="I72" s="18"/>
    </row>
    <row r="73" spans="2:9">
      <c r="B73" s="34"/>
      <c r="C73" s="18"/>
      <c r="D73" s="18"/>
      <c r="E73" s="18"/>
      <c r="F73" s="18"/>
      <c r="G73" s="18"/>
      <c r="H73" s="18"/>
      <c r="I73" s="18"/>
    </row>
    <row r="74" spans="2:9">
      <c r="B74" s="34"/>
      <c r="C74" s="18"/>
      <c r="D74" s="18"/>
      <c r="E74" s="18"/>
      <c r="F74" s="18"/>
      <c r="G74" s="18"/>
      <c r="H74" s="18"/>
      <c r="I74" s="18"/>
    </row>
    <row r="75" spans="2:9">
      <c r="B75" s="34"/>
      <c r="C75" s="18"/>
      <c r="D75" s="18"/>
      <c r="E75" s="18"/>
      <c r="F75" s="18"/>
      <c r="G75" s="18"/>
      <c r="H75" s="18"/>
      <c r="I75" s="18"/>
    </row>
    <row r="76" spans="2:9">
      <c r="B76" s="34"/>
      <c r="C76" s="18"/>
      <c r="D76" s="18"/>
      <c r="E76" s="18"/>
      <c r="F76" s="18"/>
      <c r="G76" s="18"/>
      <c r="H76" s="18"/>
      <c r="I76" s="18"/>
    </row>
    <row r="77" spans="2:9">
      <c r="B77" s="34"/>
      <c r="C77" s="18"/>
      <c r="D77" s="18"/>
      <c r="E77" s="18"/>
      <c r="F77" s="18"/>
      <c r="G77" s="18"/>
      <c r="H77" s="18"/>
      <c r="I77" s="18"/>
    </row>
    <row r="78" spans="2:9">
      <c r="B78" s="34"/>
      <c r="C78" s="18"/>
      <c r="D78" s="18"/>
      <c r="E78" s="18"/>
      <c r="F78" s="18"/>
      <c r="G78" s="18"/>
      <c r="H78" s="18"/>
      <c r="I78" s="18"/>
    </row>
    <row r="79" spans="2:9">
      <c r="B79" s="34"/>
      <c r="C79" s="18"/>
      <c r="D79" s="18"/>
      <c r="E79" s="18"/>
      <c r="F79" s="18"/>
      <c r="G79" s="18"/>
      <c r="H79" s="18"/>
      <c r="I79" s="18"/>
    </row>
    <row r="80" spans="2:9">
      <c r="B80" s="34"/>
      <c r="C80" s="18"/>
      <c r="D80" s="18"/>
      <c r="E80" s="18"/>
      <c r="F80" s="18"/>
      <c r="G80" s="18"/>
      <c r="H80" s="18"/>
      <c r="I80" s="18"/>
    </row>
    <row r="81" spans="2:9">
      <c r="B81" s="34"/>
      <c r="C81" s="18"/>
      <c r="D81" s="18"/>
      <c r="E81" s="18"/>
      <c r="F81" s="18"/>
      <c r="G81" s="18"/>
      <c r="H81" s="18"/>
      <c r="I81" s="18"/>
    </row>
    <row r="82" spans="2:9">
      <c r="B82" s="34"/>
      <c r="C82" s="18"/>
      <c r="D82" s="18"/>
      <c r="E82" s="18"/>
      <c r="F82" s="18"/>
      <c r="G82" s="18"/>
      <c r="H82" s="18"/>
      <c r="I82" s="18"/>
    </row>
    <row r="83" spans="2:9">
      <c r="B83" s="34"/>
      <c r="C83" s="18"/>
      <c r="D83" s="18"/>
      <c r="E83" s="18"/>
      <c r="F83" s="18"/>
      <c r="G83" s="18"/>
      <c r="H83" s="18"/>
      <c r="I83" s="18"/>
    </row>
    <row r="84" spans="2:9">
      <c r="B84" s="34"/>
      <c r="C84" s="18"/>
      <c r="D84" s="18"/>
      <c r="E84" s="18"/>
      <c r="F84" s="18"/>
      <c r="G84" s="18"/>
      <c r="H84" s="18"/>
      <c r="I84" s="18"/>
    </row>
    <row r="85" spans="2:9">
      <c r="B85" s="34"/>
      <c r="C85" s="18"/>
      <c r="D85" s="18"/>
      <c r="E85" s="18"/>
      <c r="F85" s="18"/>
      <c r="G85" s="18"/>
      <c r="H85" s="18"/>
      <c r="I85" s="18"/>
    </row>
    <row r="86" spans="2:9">
      <c r="B86" s="34"/>
      <c r="C86" s="18"/>
      <c r="D86" s="18"/>
      <c r="E86" s="18"/>
      <c r="F86" s="18"/>
      <c r="G86" s="18"/>
      <c r="H86" s="18"/>
      <c r="I86" s="18"/>
    </row>
    <row r="87" spans="2:9">
      <c r="B87" s="34"/>
      <c r="C87" s="18"/>
      <c r="D87" s="18"/>
      <c r="E87" s="18"/>
      <c r="F87" s="18"/>
      <c r="G87" s="18"/>
      <c r="H87" s="18"/>
      <c r="I87" s="18"/>
    </row>
    <row r="88" spans="2:9">
      <c r="B88" s="34"/>
      <c r="C88" s="18"/>
      <c r="D88" s="18"/>
      <c r="E88" s="18"/>
      <c r="F88" s="18"/>
      <c r="G88" s="18"/>
      <c r="H88" s="18"/>
      <c r="I88" s="18"/>
    </row>
    <row r="89" spans="2:9">
      <c r="B89" s="34"/>
      <c r="C89" s="18"/>
      <c r="D89" s="18"/>
      <c r="E89" s="18"/>
      <c r="F89" s="18"/>
      <c r="G89" s="18"/>
      <c r="H89" s="18"/>
      <c r="I89" s="18"/>
    </row>
    <row r="90" spans="2:9">
      <c r="B90" s="34"/>
      <c r="C90" s="18"/>
      <c r="D90" s="18"/>
      <c r="E90" s="18"/>
      <c r="F90" s="18"/>
      <c r="G90" s="18"/>
      <c r="H90" s="18"/>
      <c r="I90" s="18"/>
    </row>
    <row r="91" spans="2:9">
      <c r="B91" s="34"/>
      <c r="C91" s="18"/>
      <c r="D91" s="18"/>
      <c r="E91" s="18"/>
      <c r="F91" s="18"/>
      <c r="G91" s="18"/>
      <c r="H91" s="18"/>
      <c r="I91" s="18"/>
    </row>
    <row r="92" spans="2:9">
      <c r="B92" s="34"/>
      <c r="C92" s="18"/>
      <c r="D92" s="18"/>
      <c r="E92" s="18"/>
      <c r="F92" s="18"/>
      <c r="G92" s="18"/>
      <c r="H92" s="18"/>
      <c r="I92" s="18"/>
    </row>
    <row r="93" spans="2:9">
      <c r="B93" s="34"/>
      <c r="C93" s="18"/>
      <c r="D93" s="18"/>
      <c r="E93" s="18"/>
      <c r="F93" s="18"/>
      <c r="G93" s="18"/>
      <c r="H93" s="18"/>
      <c r="I93" s="18"/>
    </row>
    <row r="94" spans="2:9">
      <c r="B94" s="34"/>
      <c r="C94" s="18"/>
      <c r="D94" s="18"/>
      <c r="E94" s="18"/>
      <c r="F94" s="18"/>
      <c r="G94" s="18"/>
      <c r="H94" s="18"/>
      <c r="I94" s="18"/>
    </row>
    <row r="95" spans="2:9">
      <c r="B95" s="34"/>
      <c r="C95" s="18"/>
      <c r="D95" s="18"/>
      <c r="E95" s="18"/>
      <c r="F95" s="18"/>
      <c r="G95" s="18"/>
      <c r="H95" s="18"/>
      <c r="I95" s="18"/>
    </row>
    <row r="96" spans="2:9">
      <c r="B96" s="34"/>
      <c r="C96" s="18"/>
      <c r="D96" s="18"/>
      <c r="E96" s="18"/>
      <c r="F96" s="18"/>
      <c r="G96" s="18"/>
      <c r="H96" s="18"/>
      <c r="I96" s="18"/>
    </row>
    <row r="97" spans="2:9">
      <c r="B97" s="34"/>
      <c r="C97" s="18"/>
      <c r="D97" s="18"/>
      <c r="E97" s="18"/>
      <c r="F97" s="18"/>
      <c r="G97" s="18"/>
      <c r="H97" s="18"/>
      <c r="I97" s="18"/>
    </row>
    <row r="98" spans="2:9">
      <c r="B98" s="34"/>
      <c r="C98" s="18"/>
      <c r="D98" s="18"/>
      <c r="E98" s="18"/>
      <c r="F98" s="18"/>
      <c r="G98" s="18"/>
      <c r="H98" s="18"/>
      <c r="I98" s="18"/>
    </row>
    <row r="99" spans="2:9">
      <c r="B99" s="34"/>
      <c r="C99" s="18"/>
      <c r="D99" s="18"/>
      <c r="E99" s="18"/>
      <c r="F99" s="18"/>
      <c r="G99" s="18"/>
      <c r="H99" s="18"/>
      <c r="I99" s="18"/>
    </row>
    <row r="100" spans="2:9">
      <c r="B100" s="34"/>
      <c r="C100" s="18"/>
      <c r="D100" s="18"/>
      <c r="E100" s="18"/>
      <c r="F100" s="18"/>
      <c r="G100" s="18"/>
      <c r="H100" s="18"/>
      <c r="I100" s="18"/>
    </row>
    <row r="101" spans="2:9">
      <c r="B101" s="34"/>
      <c r="C101" s="18"/>
      <c r="D101" s="18"/>
      <c r="E101" s="18"/>
      <c r="F101" s="18"/>
      <c r="G101" s="18"/>
      <c r="H101" s="18"/>
      <c r="I101" s="18"/>
    </row>
    <row r="102" spans="2:9">
      <c r="B102" s="34"/>
      <c r="C102" s="18"/>
      <c r="D102" s="18"/>
      <c r="E102" s="18"/>
      <c r="F102" s="18"/>
      <c r="G102" s="18"/>
      <c r="H102" s="18"/>
      <c r="I102" s="18"/>
    </row>
    <row r="103" spans="2:9">
      <c r="B103" s="34"/>
      <c r="C103" s="18"/>
      <c r="D103" s="18"/>
      <c r="E103" s="18"/>
      <c r="F103" s="18"/>
      <c r="G103" s="18"/>
      <c r="H103" s="18"/>
      <c r="I103" s="18"/>
    </row>
    <row r="104" spans="2:9">
      <c r="B104" s="34"/>
      <c r="C104" s="18"/>
      <c r="D104" s="18"/>
      <c r="E104" s="18"/>
      <c r="F104" s="18"/>
      <c r="G104" s="18"/>
      <c r="H104" s="18"/>
      <c r="I104" s="18"/>
    </row>
    <row r="105" spans="2:9">
      <c r="B105" s="34"/>
      <c r="C105" s="18"/>
      <c r="D105" s="18"/>
      <c r="E105" s="18"/>
      <c r="F105" s="18"/>
      <c r="G105" s="18"/>
      <c r="H105" s="18"/>
      <c r="I105" s="18"/>
    </row>
    <row r="106" spans="2:9">
      <c r="B106" s="34"/>
      <c r="C106" s="18"/>
      <c r="D106" s="18"/>
      <c r="E106" s="18"/>
      <c r="F106" s="18"/>
      <c r="G106" s="18"/>
      <c r="H106" s="18"/>
      <c r="I106" s="18"/>
    </row>
    <row r="107" spans="2:9">
      <c r="B107" s="34"/>
      <c r="C107" s="18"/>
      <c r="D107" s="18"/>
      <c r="E107" s="18"/>
      <c r="F107" s="18"/>
      <c r="G107" s="18"/>
      <c r="H107" s="18"/>
      <c r="I107" s="18"/>
    </row>
    <row r="108" spans="2:9">
      <c r="B108" s="34"/>
      <c r="C108" s="18"/>
      <c r="D108" s="18"/>
      <c r="E108" s="18"/>
      <c r="F108" s="18"/>
      <c r="G108" s="18"/>
      <c r="H108" s="18"/>
      <c r="I108" s="18"/>
    </row>
    <row r="109" spans="2:9">
      <c r="B109" s="34"/>
      <c r="C109" s="18"/>
      <c r="D109" s="18"/>
      <c r="E109" s="18"/>
      <c r="F109" s="18"/>
      <c r="G109" s="18"/>
      <c r="H109" s="18"/>
      <c r="I109" s="18"/>
    </row>
    <row r="110" spans="2:9">
      <c r="B110" s="34"/>
      <c r="C110" s="18"/>
      <c r="D110" s="18"/>
      <c r="E110" s="18"/>
      <c r="F110" s="18"/>
      <c r="G110" s="18"/>
      <c r="H110" s="18"/>
      <c r="I110" s="18"/>
    </row>
    <row r="111" spans="2:9">
      <c r="B111" s="34"/>
      <c r="C111" s="18"/>
      <c r="D111" s="18"/>
      <c r="E111" s="18"/>
      <c r="F111" s="18"/>
      <c r="G111" s="18"/>
      <c r="H111" s="18"/>
      <c r="I111" s="18"/>
    </row>
    <row r="112" spans="2:9">
      <c r="B112" s="34"/>
      <c r="C112" s="18"/>
      <c r="D112" s="18"/>
      <c r="E112" s="18"/>
      <c r="F112" s="18"/>
      <c r="G112" s="18"/>
      <c r="H112" s="18"/>
      <c r="I112" s="18"/>
    </row>
    <row r="113" spans="2:9">
      <c r="B113" s="34"/>
      <c r="C113" s="18"/>
      <c r="D113" s="18"/>
      <c r="E113" s="18"/>
      <c r="F113" s="18"/>
      <c r="G113" s="18"/>
      <c r="H113" s="18"/>
      <c r="I113" s="18"/>
    </row>
    <row r="114" spans="2:9">
      <c r="B114" s="34"/>
      <c r="C114" s="18"/>
      <c r="D114" s="18"/>
      <c r="E114" s="18"/>
      <c r="F114" s="18"/>
      <c r="G114" s="18"/>
      <c r="H114" s="18"/>
      <c r="I114" s="18"/>
    </row>
    <row r="115" spans="2:9">
      <c r="B115" s="34"/>
      <c r="C115" s="18"/>
      <c r="D115" s="18"/>
      <c r="E115" s="18"/>
      <c r="F115" s="18"/>
      <c r="G115" s="18"/>
      <c r="H115" s="18"/>
      <c r="I115" s="18"/>
    </row>
    <row r="116" spans="2:9">
      <c r="B116" s="34"/>
      <c r="C116" s="18"/>
      <c r="D116" s="18"/>
      <c r="E116" s="18"/>
      <c r="F116" s="18"/>
      <c r="G116" s="18"/>
      <c r="H116" s="18"/>
      <c r="I116" s="18"/>
    </row>
    <row r="117" spans="2:9">
      <c r="B117" s="34"/>
      <c r="C117" s="18"/>
      <c r="D117" s="18"/>
      <c r="E117" s="18"/>
      <c r="F117" s="18"/>
      <c r="G117" s="18"/>
      <c r="H117" s="18"/>
      <c r="I117" s="18"/>
    </row>
    <row r="118" spans="2:9">
      <c r="B118" s="34"/>
      <c r="C118" s="18"/>
      <c r="D118" s="18"/>
      <c r="E118" s="18"/>
      <c r="F118" s="18"/>
      <c r="G118" s="18"/>
      <c r="H118" s="18"/>
      <c r="I118" s="18"/>
    </row>
    <row r="119" spans="2:9">
      <c r="B119" s="34"/>
      <c r="C119" s="18"/>
      <c r="D119" s="18"/>
      <c r="E119" s="18"/>
      <c r="F119" s="18"/>
      <c r="G119" s="18"/>
      <c r="H119" s="18"/>
      <c r="I119" s="18"/>
    </row>
    <row r="120" spans="2:9">
      <c r="B120" s="34"/>
      <c r="C120" s="18"/>
      <c r="D120" s="18"/>
      <c r="E120" s="18"/>
      <c r="F120" s="18"/>
      <c r="G120" s="18"/>
      <c r="H120" s="18"/>
      <c r="I120" s="18"/>
    </row>
    <row r="121" spans="2:9">
      <c r="B121" s="34"/>
      <c r="C121" s="18"/>
      <c r="D121" s="18"/>
      <c r="E121" s="18"/>
      <c r="F121" s="18"/>
      <c r="G121" s="18"/>
      <c r="H121" s="18"/>
      <c r="I121" s="18"/>
    </row>
    <row r="122" spans="2:9">
      <c r="B122" s="34"/>
      <c r="C122" s="18"/>
      <c r="D122" s="18"/>
      <c r="E122" s="18"/>
      <c r="F122" s="18"/>
      <c r="G122" s="18"/>
      <c r="H122" s="18"/>
      <c r="I122" s="18"/>
    </row>
    <row r="123" spans="2:9">
      <c r="B123" s="34"/>
      <c r="C123" s="18"/>
      <c r="D123" s="18"/>
      <c r="E123" s="18"/>
      <c r="F123" s="18"/>
      <c r="G123" s="18"/>
      <c r="H123" s="18"/>
      <c r="I123" s="18"/>
    </row>
    <row r="124" spans="2:9">
      <c r="B124" s="34"/>
      <c r="C124" s="18"/>
      <c r="D124" s="18"/>
      <c r="E124" s="18"/>
      <c r="F124" s="18"/>
      <c r="G124" s="18"/>
      <c r="H124" s="18"/>
      <c r="I124" s="18"/>
    </row>
    <row r="125" spans="2:9">
      <c r="B125" s="34"/>
      <c r="C125" s="18"/>
      <c r="D125" s="18"/>
      <c r="E125" s="18"/>
      <c r="F125" s="18"/>
      <c r="G125" s="18"/>
      <c r="H125" s="18"/>
      <c r="I125" s="18"/>
    </row>
    <row r="126" spans="2:9">
      <c r="B126" s="34"/>
      <c r="C126" s="18"/>
      <c r="D126" s="18"/>
      <c r="E126" s="18"/>
      <c r="F126" s="18"/>
      <c r="G126" s="18"/>
      <c r="H126" s="18"/>
      <c r="I126" s="18"/>
    </row>
    <row r="127" spans="2:9">
      <c r="B127" s="34"/>
      <c r="C127" s="18"/>
      <c r="D127" s="18"/>
      <c r="E127" s="18"/>
      <c r="F127" s="18"/>
      <c r="G127" s="18"/>
      <c r="H127" s="18"/>
      <c r="I127" s="18"/>
    </row>
    <row r="128" spans="2:9">
      <c r="B128" s="34"/>
      <c r="C128" s="18"/>
      <c r="D128" s="18"/>
      <c r="E128" s="18"/>
      <c r="F128" s="18"/>
      <c r="G128" s="18"/>
      <c r="H128" s="18"/>
      <c r="I128" s="18"/>
    </row>
    <row r="129" spans="2:9">
      <c r="B129" s="34"/>
      <c r="C129" s="18"/>
      <c r="D129" s="18"/>
      <c r="E129" s="18"/>
      <c r="F129" s="18"/>
      <c r="G129" s="18"/>
      <c r="H129" s="18"/>
      <c r="I129" s="18"/>
    </row>
    <row r="130" spans="2:9">
      <c r="B130" s="34"/>
      <c r="C130" s="18"/>
      <c r="D130" s="18"/>
      <c r="E130" s="18"/>
      <c r="F130" s="18"/>
      <c r="G130" s="18"/>
      <c r="H130" s="18"/>
      <c r="I130" s="18"/>
    </row>
    <row r="131" spans="2:9">
      <c r="B131" s="34"/>
      <c r="C131" s="18"/>
      <c r="D131" s="18"/>
      <c r="E131" s="18"/>
      <c r="F131" s="18"/>
      <c r="G131" s="18"/>
      <c r="H131" s="18"/>
      <c r="I131" s="18"/>
    </row>
    <row r="132" spans="2:9">
      <c r="B132" s="34"/>
      <c r="C132" s="18"/>
      <c r="D132" s="18"/>
      <c r="E132" s="18"/>
      <c r="F132" s="18"/>
      <c r="G132" s="18"/>
      <c r="H132" s="18"/>
      <c r="I132" s="18"/>
    </row>
    <row r="133" spans="2:9">
      <c r="B133" s="34"/>
      <c r="C133" s="18"/>
      <c r="D133" s="18"/>
      <c r="E133" s="18"/>
      <c r="F133" s="18"/>
      <c r="G133" s="18"/>
      <c r="H133" s="18"/>
      <c r="I133" s="18"/>
    </row>
    <row r="134" spans="2:9">
      <c r="B134" s="34"/>
      <c r="C134" s="18"/>
      <c r="D134" s="18"/>
      <c r="E134" s="18"/>
      <c r="F134" s="18"/>
      <c r="G134" s="18"/>
      <c r="H134" s="18"/>
      <c r="I134" s="18"/>
    </row>
    <row r="135" spans="2:9">
      <c r="B135" s="34"/>
      <c r="C135" s="18"/>
      <c r="D135" s="18"/>
      <c r="E135" s="18"/>
      <c r="F135" s="18"/>
      <c r="G135" s="18"/>
      <c r="H135" s="18"/>
      <c r="I135" s="18"/>
    </row>
    <row r="136" spans="2:9">
      <c r="B136" s="34"/>
      <c r="C136" s="18"/>
      <c r="D136" s="18"/>
      <c r="E136" s="18"/>
      <c r="F136" s="18"/>
      <c r="G136" s="18"/>
      <c r="H136" s="18"/>
      <c r="I136" s="18"/>
    </row>
    <row r="137" spans="2:9">
      <c r="B137" s="34"/>
      <c r="C137" s="18"/>
      <c r="D137" s="18"/>
      <c r="E137" s="18"/>
      <c r="F137" s="18"/>
      <c r="G137" s="18"/>
      <c r="H137" s="18"/>
      <c r="I137" s="18"/>
    </row>
    <row r="138" spans="2:9">
      <c r="B138" s="34"/>
      <c r="C138" s="18"/>
      <c r="D138" s="18"/>
      <c r="E138" s="18"/>
      <c r="F138" s="18"/>
      <c r="G138" s="18"/>
      <c r="H138" s="18"/>
      <c r="I138" s="18"/>
    </row>
    <row r="139" spans="2:9">
      <c r="B139" s="34"/>
      <c r="C139" s="18"/>
      <c r="D139" s="18"/>
      <c r="E139" s="18"/>
      <c r="F139" s="18"/>
      <c r="G139" s="18"/>
      <c r="H139" s="18"/>
      <c r="I139" s="18"/>
    </row>
    <row r="140" spans="2:9">
      <c r="B140" s="34"/>
      <c r="C140" s="18"/>
      <c r="D140" s="18"/>
      <c r="E140" s="18"/>
      <c r="F140" s="18"/>
      <c r="G140" s="18"/>
      <c r="H140" s="18"/>
      <c r="I140" s="18"/>
    </row>
    <row r="141" spans="2:9">
      <c r="B141" s="34"/>
      <c r="C141" s="18"/>
      <c r="D141" s="18"/>
      <c r="E141" s="18"/>
      <c r="F141" s="18"/>
      <c r="G141" s="18"/>
      <c r="H141" s="18"/>
      <c r="I141" s="18"/>
    </row>
    <row r="142" spans="2:9">
      <c r="B142" s="34"/>
      <c r="C142" s="18"/>
      <c r="D142" s="18"/>
      <c r="E142" s="18"/>
      <c r="F142" s="18"/>
      <c r="G142" s="18"/>
      <c r="H142" s="18"/>
      <c r="I142" s="18"/>
    </row>
    <row r="143" spans="2:9">
      <c r="B143" s="34"/>
      <c r="C143" s="18"/>
      <c r="D143" s="18"/>
      <c r="E143" s="18"/>
      <c r="F143" s="18"/>
      <c r="G143" s="18"/>
      <c r="H143" s="18"/>
      <c r="I143" s="18"/>
    </row>
    <row r="144" spans="2:9">
      <c r="B144" s="34"/>
      <c r="C144" s="18"/>
      <c r="D144" s="18"/>
      <c r="E144" s="18"/>
      <c r="F144" s="18"/>
      <c r="G144" s="18"/>
      <c r="H144" s="18"/>
      <c r="I144" s="18"/>
    </row>
    <row r="145" spans="2:9">
      <c r="B145" s="34"/>
      <c r="C145" s="18"/>
      <c r="D145" s="18"/>
      <c r="E145" s="18"/>
      <c r="F145" s="18"/>
      <c r="G145" s="18"/>
      <c r="H145" s="18"/>
      <c r="I145" s="18"/>
    </row>
    <row r="146" spans="2:9">
      <c r="B146" s="34"/>
      <c r="C146" s="18"/>
      <c r="D146" s="18"/>
      <c r="E146" s="18"/>
      <c r="F146" s="18"/>
      <c r="G146" s="18"/>
      <c r="H146" s="18"/>
      <c r="I146" s="18"/>
    </row>
    <row r="147" spans="2:9">
      <c r="B147" s="34"/>
      <c r="C147" s="18"/>
      <c r="D147" s="18"/>
      <c r="E147" s="18"/>
      <c r="F147" s="18"/>
      <c r="G147" s="18"/>
      <c r="H147" s="18"/>
      <c r="I147" s="18"/>
    </row>
    <row r="148" spans="2:9">
      <c r="B148" s="34"/>
      <c r="C148" s="18"/>
      <c r="D148" s="18"/>
      <c r="E148" s="18"/>
      <c r="F148" s="18"/>
      <c r="G148" s="18"/>
      <c r="H148" s="18"/>
      <c r="I148" s="18"/>
    </row>
    <row r="149" spans="2:9">
      <c r="B149" s="34"/>
      <c r="C149" s="18"/>
      <c r="D149" s="18"/>
      <c r="E149" s="18"/>
      <c r="F149" s="18"/>
      <c r="G149" s="18"/>
      <c r="H149" s="18"/>
      <c r="I149" s="18"/>
    </row>
    <row r="150" spans="2:9">
      <c r="B150" s="34"/>
      <c r="C150" s="18"/>
      <c r="D150" s="18"/>
      <c r="E150" s="18"/>
      <c r="F150" s="18"/>
      <c r="G150" s="18"/>
      <c r="H150" s="18"/>
      <c r="I150" s="18"/>
    </row>
    <row r="151" spans="2:9">
      <c r="B151" s="34"/>
      <c r="C151" s="18"/>
      <c r="D151" s="18"/>
      <c r="E151" s="18"/>
      <c r="F151" s="18"/>
      <c r="G151" s="18"/>
      <c r="H151" s="18"/>
      <c r="I151" s="18"/>
    </row>
    <row r="152" spans="2:9">
      <c r="B152" s="34"/>
      <c r="C152" s="18"/>
      <c r="D152" s="18"/>
      <c r="E152" s="18"/>
      <c r="F152" s="18"/>
      <c r="G152" s="18"/>
      <c r="H152" s="18"/>
      <c r="I152" s="18"/>
    </row>
    <row r="153" spans="2:9">
      <c r="B153" s="34"/>
      <c r="C153" s="18"/>
      <c r="D153" s="18"/>
      <c r="E153" s="18"/>
      <c r="F153" s="18"/>
      <c r="G153" s="18"/>
      <c r="H153" s="18"/>
      <c r="I153" s="18"/>
    </row>
    <row r="154" spans="2:9">
      <c r="B154" s="34"/>
      <c r="C154" s="18"/>
      <c r="D154" s="18"/>
      <c r="E154" s="18"/>
      <c r="F154" s="18"/>
      <c r="G154" s="18"/>
      <c r="H154" s="18"/>
      <c r="I154" s="18"/>
    </row>
    <row r="155" spans="2:9">
      <c r="B155" s="34"/>
      <c r="C155" s="18"/>
      <c r="D155" s="18"/>
      <c r="E155" s="18"/>
      <c r="F155" s="18"/>
      <c r="G155" s="18"/>
      <c r="H155" s="18"/>
      <c r="I155" s="18"/>
    </row>
    <row r="156" spans="2:9">
      <c r="B156" s="34"/>
      <c r="C156" s="18"/>
      <c r="D156" s="18"/>
      <c r="E156" s="18"/>
      <c r="F156" s="18"/>
      <c r="G156" s="18"/>
      <c r="H156" s="18"/>
      <c r="I156" s="18"/>
    </row>
    <row r="157" spans="2:9">
      <c r="B157" s="34"/>
      <c r="C157" s="18"/>
      <c r="D157" s="18"/>
      <c r="E157" s="18"/>
      <c r="F157" s="18"/>
      <c r="G157" s="18"/>
      <c r="H157" s="18"/>
      <c r="I157" s="18"/>
    </row>
    <row r="158" spans="2:9">
      <c r="B158" s="34"/>
      <c r="C158" s="18"/>
      <c r="D158" s="18"/>
      <c r="E158" s="18"/>
      <c r="F158" s="18"/>
      <c r="G158" s="18"/>
      <c r="H158" s="18"/>
      <c r="I158" s="18"/>
    </row>
    <row r="159" spans="2:9">
      <c r="B159" s="34"/>
      <c r="C159" s="18"/>
      <c r="D159" s="18"/>
      <c r="E159" s="18"/>
      <c r="F159" s="18"/>
      <c r="G159" s="18"/>
      <c r="H159" s="18"/>
      <c r="I159" s="18"/>
    </row>
    <row r="160" spans="2:9">
      <c r="B160" s="34"/>
      <c r="C160" s="18"/>
      <c r="D160" s="18"/>
      <c r="E160" s="18"/>
      <c r="F160" s="18"/>
      <c r="G160" s="18"/>
      <c r="H160" s="18"/>
      <c r="I160" s="18"/>
    </row>
    <row r="161" spans="2:9">
      <c r="B161" s="34"/>
      <c r="C161" s="18"/>
      <c r="D161" s="18"/>
      <c r="E161" s="18"/>
      <c r="F161" s="18"/>
      <c r="G161" s="18"/>
      <c r="H161" s="18"/>
      <c r="I161" s="18"/>
    </row>
    <row r="162" spans="2:9">
      <c r="B162" s="34"/>
      <c r="C162" s="18"/>
      <c r="D162" s="18"/>
      <c r="E162" s="18"/>
      <c r="F162" s="18"/>
      <c r="G162" s="18"/>
      <c r="H162" s="18"/>
      <c r="I162" s="18"/>
    </row>
    <row r="163" spans="2:9">
      <c r="B163" s="34"/>
      <c r="C163" s="18"/>
      <c r="D163" s="18"/>
      <c r="E163" s="18"/>
      <c r="F163" s="18"/>
      <c r="G163" s="18"/>
      <c r="H163" s="18"/>
      <c r="I163" s="18"/>
    </row>
    <row r="164" spans="2:9">
      <c r="B164" s="34"/>
      <c r="C164" s="18"/>
      <c r="D164" s="18"/>
      <c r="E164" s="18"/>
      <c r="F164" s="18"/>
      <c r="G164" s="18"/>
      <c r="H164" s="18"/>
      <c r="I164" s="18"/>
    </row>
    <row r="165" spans="2:9">
      <c r="B165" s="34"/>
      <c r="C165" s="18"/>
      <c r="D165" s="18"/>
      <c r="E165" s="18"/>
      <c r="F165" s="18"/>
      <c r="G165" s="18"/>
      <c r="H165" s="18"/>
      <c r="I165" s="18"/>
    </row>
    <row r="166" spans="2:9">
      <c r="B166" s="34"/>
      <c r="C166" s="18"/>
      <c r="D166" s="18"/>
      <c r="E166" s="18"/>
      <c r="F166" s="18"/>
      <c r="G166" s="18"/>
      <c r="H166" s="18"/>
      <c r="I166" s="18"/>
    </row>
    <row r="167" spans="2:9">
      <c r="B167" s="34"/>
      <c r="C167" s="18"/>
      <c r="D167" s="18"/>
      <c r="E167" s="18"/>
      <c r="F167" s="18"/>
      <c r="G167" s="18"/>
      <c r="H167" s="18"/>
      <c r="I167" s="18"/>
    </row>
    <row r="168" spans="2:9">
      <c r="B168" s="34"/>
      <c r="C168" s="18"/>
      <c r="D168" s="18"/>
      <c r="E168" s="18"/>
      <c r="F168" s="18"/>
      <c r="G168" s="18"/>
      <c r="H168" s="18"/>
      <c r="I168" s="18"/>
    </row>
    <row r="169" spans="2:9">
      <c r="B169" s="34"/>
      <c r="C169" s="18"/>
      <c r="D169" s="18"/>
      <c r="E169" s="18"/>
      <c r="F169" s="18"/>
      <c r="G169" s="18"/>
      <c r="H169" s="18"/>
      <c r="I169" s="18"/>
    </row>
    <row r="170" spans="2:9">
      <c r="B170" s="34"/>
      <c r="C170" s="18"/>
      <c r="D170" s="18"/>
      <c r="E170" s="18"/>
      <c r="F170" s="18"/>
      <c r="G170" s="18"/>
      <c r="H170" s="18"/>
      <c r="I170" s="18"/>
    </row>
    <row r="171" spans="2:9">
      <c r="B171" s="34"/>
      <c r="C171" s="18"/>
      <c r="D171" s="18"/>
      <c r="E171" s="18"/>
      <c r="F171" s="18"/>
      <c r="G171" s="18"/>
      <c r="H171" s="18"/>
      <c r="I171" s="18"/>
    </row>
    <row r="172" spans="2:9">
      <c r="B172" s="34"/>
      <c r="C172" s="18"/>
      <c r="D172" s="18"/>
      <c r="E172" s="18"/>
      <c r="F172" s="18"/>
      <c r="G172" s="18"/>
      <c r="H172" s="18"/>
      <c r="I172" s="18"/>
    </row>
    <row r="173" spans="2:9">
      <c r="B173" s="34"/>
      <c r="C173" s="18"/>
      <c r="D173" s="18"/>
      <c r="E173" s="18"/>
      <c r="F173" s="18"/>
      <c r="G173" s="18"/>
      <c r="H173" s="18"/>
      <c r="I173" s="18"/>
    </row>
    <row r="174" spans="2:9">
      <c r="B174" s="34"/>
      <c r="C174" s="18"/>
      <c r="D174" s="18"/>
      <c r="E174" s="18"/>
      <c r="F174" s="18"/>
      <c r="G174" s="18"/>
      <c r="H174" s="18"/>
      <c r="I174" s="18"/>
    </row>
    <row r="175" spans="2:9">
      <c r="B175" s="34"/>
      <c r="C175" s="18"/>
      <c r="D175" s="18"/>
      <c r="E175" s="18"/>
      <c r="F175" s="18"/>
      <c r="G175" s="18"/>
      <c r="H175" s="18"/>
      <c r="I175" s="18"/>
    </row>
    <row r="176" spans="2:9">
      <c r="B176" s="34"/>
      <c r="C176" s="18"/>
      <c r="D176" s="18"/>
      <c r="E176" s="18"/>
      <c r="F176" s="18"/>
      <c r="G176" s="18"/>
      <c r="H176" s="18"/>
      <c r="I176" s="18"/>
    </row>
    <row r="177" spans="2:9">
      <c r="B177" s="34"/>
      <c r="C177" s="18"/>
      <c r="D177" s="18"/>
      <c r="E177" s="18"/>
      <c r="F177" s="18"/>
      <c r="G177" s="18"/>
      <c r="H177" s="18"/>
      <c r="I177" s="18"/>
    </row>
    <row r="178" spans="2:9">
      <c r="B178" s="34"/>
      <c r="C178" s="18"/>
      <c r="D178" s="18"/>
      <c r="E178" s="18"/>
      <c r="F178" s="18"/>
      <c r="G178" s="18"/>
      <c r="H178" s="18"/>
      <c r="I178" s="18"/>
    </row>
    <row r="179" spans="2:9">
      <c r="B179" s="34"/>
      <c r="C179" s="18"/>
      <c r="D179" s="18"/>
      <c r="E179" s="18"/>
      <c r="F179" s="18"/>
      <c r="G179" s="18"/>
      <c r="H179" s="18"/>
      <c r="I179" s="18"/>
    </row>
    <row r="180" spans="2:9">
      <c r="B180" s="34"/>
      <c r="C180" s="18"/>
      <c r="D180" s="18"/>
      <c r="E180" s="18"/>
      <c r="F180" s="18"/>
      <c r="G180" s="18"/>
      <c r="H180" s="18"/>
      <c r="I180" s="18"/>
    </row>
    <row r="181" spans="2:9">
      <c r="B181" s="34"/>
      <c r="C181" s="18"/>
      <c r="D181" s="18"/>
      <c r="E181" s="18"/>
      <c r="F181" s="18"/>
      <c r="G181" s="18"/>
      <c r="H181" s="18"/>
      <c r="I181" s="18"/>
    </row>
    <row r="182" spans="2:9">
      <c r="B182" s="34"/>
      <c r="C182" s="18"/>
      <c r="D182" s="18"/>
      <c r="E182" s="18"/>
      <c r="F182" s="18"/>
      <c r="G182" s="18"/>
      <c r="H182" s="18"/>
      <c r="I182" s="18"/>
    </row>
    <row r="183" spans="2:9">
      <c r="B183" s="34"/>
      <c r="C183" s="18"/>
      <c r="D183" s="18"/>
      <c r="E183" s="18"/>
      <c r="F183" s="18"/>
      <c r="G183" s="18"/>
      <c r="H183" s="18"/>
      <c r="I183" s="18"/>
    </row>
    <row r="184" spans="2:9">
      <c r="B184" s="34"/>
      <c r="C184" s="18"/>
      <c r="D184" s="18"/>
      <c r="E184" s="18"/>
      <c r="F184" s="18"/>
      <c r="G184" s="18"/>
      <c r="H184" s="18"/>
      <c r="I184" s="18"/>
    </row>
    <row r="185" spans="2:9">
      <c r="B185" s="34"/>
      <c r="C185" s="18"/>
      <c r="D185" s="18"/>
      <c r="E185" s="18"/>
      <c r="F185" s="18"/>
      <c r="G185" s="18"/>
      <c r="H185" s="18"/>
      <c r="I185" s="18"/>
    </row>
    <row r="186" spans="2:9">
      <c r="B186" s="34"/>
      <c r="C186" s="18"/>
      <c r="D186" s="18"/>
      <c r="E186" s="18"/>
      <c r="F186" s="18"/>
      <c r="G186" s="18"/>
      <c r="H186" s="18"/>
      <c r="I186" s="18"/>
    </row>
    <row r="187" spans="2:9">
      <c r="B187" s="34"/>
      <c r="C187" s="18"/>
      <c r="D187" s="18"/>
      <c r="E187" s="18"/>
      <c r="F187" s="18"/>
      <c r="G187" s="18"/>
      <c r="H187" s="18"/>
      <c r="I187" s="18"/>
    </row>
    <row r="188" spans="2:9">
      <c r="B188" s="34"/>
      <c r="C188" s="18"/>
      <c r="D188" s="18"/>
      <c r="E188" s="18"/>
      <c r="F188" s="18"/>
      <c r="G188" s="18"/>
      <c r="H188" s="18"/>
      <c r="I188" s="18"/>
    </row>
    <row r="189" spans="2:9">
      <c r="B189" s="34"/>
      <c r="C189" s="18"/>
      <c r="D189" s="18"/>
      <c r="E189" s="18"/>
      <c r="F189" s="18"/>
      <c r="G189" s="18"/>
      <c r="H189" s="18"/>
      <c r="I189" s="18"/>
    </row>
    <row r="190" spans="2:9">
      <c r="B190" s="34"/>
      <c r="C190" s="18"/>
      <c r="D190" s="18"/>
      <c r="E190" s="18"/>
      <c r="F190" s="18"/>
      <c r="G190" s="18"/>
      <c r="H190" s="18"/>
      <c r="I190" s="18"/>
    </row>
    <row r="191" spans="2:9">
      <c r="B191" s="34"/>
      <c r="C191" s="18"/>
      <c r="D191" s="18"/>
      <c r="E191" s="18"/>
      <c r="F191" s="18"/>
      <c r="G191" s="18"/>
      <c r="H191" s="18"/>
      <c r="I191" s="18"/>
    </row>
    <row r="192" spans="2:9">
      <c r="B192" s="34"/>
      <c r="C192" s="18"/>
      <c r="D192" s="18"/>
      <c r="E192" s="18"/>
      <c r="F192" s="18"/>
      <c r="G192" s="18"/>
      <c r="H192" s="18"/>
      <c r="I192" s="18"/>
    </row>
    <row r="193" spans="2:9">
      <c r="B193" s="34"/>
      <c r="C193" s="18"/>
      <c r="D193" s="18"/>
      <c r="E193" s="18"/>
      <c r="F193" s="18"/>
      <c r="G193" s="18"/>
      <c r="H193" s="18"/>
      <c r="I193" s="18"/>
    </row>
    <row r="194" spans="2:9">
      <c r="B194" s="34"/>
      <c r="C194" s="18"/>
      <c r="D194" s="18"/>
      <c r="E194" s="18"/>
      <c r="F194" s="18"/>
      <c r="G194" s="18"/>
      <c r="H194" s="18"/>
      <c r="I194" s="18"/>
    </row>
    <row r="195" spans="2:9">
      <c r="B195" s="34"/>
      <c r="C195" s="18"/>
      <c r="D195" s="18"/>
      <c r="E195" s="18"/>
      <c r="F195" s="18"/>
      <c r="G195" s="18"/>
      <c r="H195" s="18"/>
      <c r="I195" s="18"/>
    </row>
    <row r="196" spans="2:9">
      <c r="B196" s="34"/>
      <c r="C196" s="18"/>
      <c r="D196" s="18"/>
      <c r="E196" s="18"/>
      <c r="F196" s="18"/>
      <c r="G196" s="18"/>
      <c r="H196" s="18"/>
      <c r="I196" s="18"/>
    </row>
    <row r="197" spans="2:9">
      <c r="B197" s="34"/>
      <c r="C197" s="18"/>
      <c r="D197" s="18"/>
      <c r="E197" s="18"/>
      <c r="F197" s="18"/>
      <c r="G197" s="18"/>
      <c r="H197" s="18"/>
      <c r="I197" s="18"/>
    </row>
    <row r="198" spans="2:9">
      <c r="B198" s="34"/>
      <c r="C198" s="18"/>
      <c r="D198" s="18"/>
      <c r="E198" s="18"/>
      <c r="F198" s="18"/>
      <c r="G198" s="18"/>
      <c r="H198" s="18"/>
      <c r="I198" s="18"/>
    </row>
    <row r="199" spans="2:9">
      <c r="B199" s="34"/>
      <c r="C199" s="18"/>
      <c r="D199" s="18"/>
      <c r="E199" s="18"/>
      <c r="F199" s="18"/>
      <c r="G199" s="18"/>
      <c r="H199" s="18"/>
      <c r="I199" s="18"/>
    </row>
    <row r="200" spans="2:9">
      <c r="B200" s="34"/>
      <c r="C200" s="18"/>
      <c r="D200" s="18"/>
      <c r="E200" s="18"/>
      <c r="F200" s="18"/>
      <c r="G200" s="18"/>
      <c r="H200" s="18"/>
      <c r="I200" s="18"/>
    </row>
    <row r="201" spans="2:9">
      <c r="B201" s="34"/>
      <c r="C201" s="18"/>
      <c r="D201" s="18"/>
      <c r="E201" s="18"/>
      <c r="F201" s="18"/>
      <c r="G201" s="18"/>
      <c r="H201" s="18"/>
      <c r="I201" s="18"/>
    </row>
    <row r="202" spans="2:9">
      <c r="B202" s="34"/>
      <c r="C202" s="18"/>
      <c r="D202" s="18"/>
      <c r="E202" s="18"/>
      <c r="F202" s="18"/>
      <c r="G202" s="18"/>
      <c r="H202" s="18"/>
      <c r="I202" s="18"/>
    </row>
    <row r="203" spans="2:9">
      <c r="B203" s="34"/>
      <c r="C203" s="18"/>
      <c r="D203" s="18"/>
      <c r="E203" s="18"/>
      <c r="F203" s="18"/>
      <c r="G203" s="18"/>
      <c r="H203" s="18"/>
      <c r="I203" s="18"/>
    </row>
    <row r="204" spans="2:9">
      <c r="B204" s="34"/>
      <c r="C204" s="18"/>
      <c r="D204" s="18"/>
      <c r="E204" s="18"/>
      <c r="F204" s="18"/>
      <c r="G204" s="18"/>
      <c r="H204" s="18"/>
      <c r="I204" s="18"/>
    </row>
    <row r="205" spans="2:9">
      <c r="B205" s="34"/>
      <c r="C205" s="18"/>
      <c r="D205" s="18"/>
      <c r="E205" s="18"/>
      <c r="F205" s="18"/>
      <c r="G205" s="18"/>
      <c r="H205" s="18"/>
      <c r="I205" s="18"/>
    </row>
    <row r="206" spans="2:9">
      <c r="B206" s="34"/>
      <c r="C206" s="18"/>
      <c r="D206" s="18"/>
      <c r="E206" s="18"/>
      <c r="F206" s="18"/>
      <c r="G206" s="18"/>
      <c r="H206" s="18"/>
      <c r="I206" s="18"/>
    </row>
    <row r="207" spans="2:9">
      <c r="B207" s="34"/>
      <c r="C207" s="18"/>
      <c r="D207" s="18"/>
      <c r="E207" s="18"/>
      <c r="F207" s="18"/>
      <c r="G207" s="18"/>
      <c r="H207" s="18"/>
      <c r="I207" s="18"/>
    </row>
    <row r="208" spans="2:9">
      <c r="B208" s="34"/>
      <c r="C208" s="18"/>
      <c r="D208" s="18"/>
      <c r="E208" s="18"/>
      <c r="F208" s="18"/>
      <c r="G208" s="18"/>
      <c r="H208" s="18"/>
      <c r="I208" s="18"/>
    </row>
    <row r="209" spans="2:9">
      <c r="B209" s="34"/>
      <c r="C209" s="18"/>
      <c r="D209" s="18"/>
      <c r="E209" s="18"/>
      <c r="F209" s="18"/>
      <c r="G209" s="18"/>
      <c r="H209" s="18"/>
      <c r="I209" s="18"/>
    </row>
    <row r="210" spans="2:9">
      <c r="B210" s="34"/>
      <c r="C210" s="18"/>
      <c r="D210" s="18"/>
      <c r="E210" s="18"/>
      <c r="F210" s="18"/>
      <c r="G210" s="18"/>
      <c r="H210" s="18"/>
      <c r="I210" s="18"/>
    </row>
    <row r="211" spans="2:9">
      <c r="B211" s="34"/>
      <c r="C211" s="18"/>
      <c r="D211" s="18"/>
      <c r="E211" s="18"/>
      <c r="F211" s="18"/>
      <c r="G211" s="18"/>
      <c r="H211" s="18"/>
      <c r="I211" s="18"/>
    </row>
    <row r="212" spans="2:9">
      <c r="B212" s="34"/>
      <c r="C212" s="18"/>
      <c r="D212" s="18"/>
      <c r="E212" s="18"/>
      <c r="F212" s="18"/>
      <c r="G212" s="18"/>
      <c r="H212" s="18"/>
      <c r="I212" s="18"/>
    </row>
    <row r="213" spans="2:9">
      <c r="B213" s="34"/>
      <c r="C213" s="18"/>
      <c r="D213" s="18"/>
      <c r="E213" s="18"/>
      <c r="F213" s="18"/>
      <c r="G213" s="18"/>
      <c r="H213" s="18"/>
      <c r="I213" s="18"/>
    </row>
    <row r="214" spans="2:9">
      <c r="B214" s="34"/>
      <c r="C214" s="18"/>
      <c r="D214" s="18"/>
      <c r="E214" s="18"/>
      <c r="F214" s="18"/>
      <c r="G214" s="18"/>
      <c r="H214" s="18"/>
      <c r="I214" s="18"/>
    </row>
    <row r="215" spans="2:9">
      <c r="B215" s="34"/>
      <c r="C215" s="18"/>
      <c r="D215" s="18"/>
      <c r="E215" s="18"/>
      <c r="F215" s="18"/>
      <c r="G215" s="18"/>
      <c r="H215" s="18"/>
      <c r="I215" s="18"/>
    </row>
    <row r="216" spans="2:9">
      <c r="B216" s="34"/>
      <c r="C216" s="18"/>
      <c r="D216" s="18"/>
      <c r="E216" s="18"/>
      <c r="F216" s="18"/>
      <c r="G216" s="18"/>
      <c r="H216" s="18"/>
      <c r="I216" s="18"/>
    </row>
    <row r="217" spans="2:9">
      <c r="B217" s="34"/>
      <c r="C217" s="18"/>
      <c r="D217" s="18"/>
      <c r="E217" s="18"/>
      <c r="F217" s="18"/>
      <c r="G217" s="18"/>
      <c r="H217" s="18"/>
      <c r="I217" s="18"/>
    </row>
    <row r="218" spans="2:9">
      <c r="B218" s="34"/>
      <c r="C218" s="18"/>
      <c r="D218" s="18"/>
      <c r="E218" s="18"/>
      <c r="F218" s="18"/>
      <c r="G218" s="18"/>
      <c r="H218" s="18"/>
      <c r="I218" s="18"/>
    </row>
    <row r="219" spans="2:9">
      <c r="B219" s="34"/>
      <c r="C219" s="18"/>
      <c r="D219" s="18"/>
      <c r="E219" s="18"/>
      <c r="F219" s="18"/>
      <c r="G219" s="18"/>
      <c r="H219" s="18"/>
      <c r="I219" s="18"/>
    </row>
    <row r="220" spans="2:9">
      <c r="B220" s="34"/>
      <c r="C220" s="18"/>
      <c r="D220" s="18"/>
      <c r="E220" s="18"/>
      <c r="F220" s="18"/>
      <c r="G220" s="18"/>
      <c r="H220" s="18"/>
      <c r="I220" s="18"/>
    </row>
    <row r="221" spans="2:9">
      <c r="B221" s="34"/>
      <c r="C221" s="18"/>
      <c r="D221" s="18"/>
      <c r="E221" s="18"/>
      <c r="F221" s="18"/>
      <c r="G221" s="18"/>
      <c r="H221" s="18"/>
      <c r="I221" s="18"/>
    </row>
    <row r="222" spans="2:9">
      <c r="B222" s="34"/>
      <c r="C222" s="18"/>
      <c r="D222" s="18"/>
      <c r="E222" s="18"/>
      <c r="F222" s="18"/>
      <c r="G222" s="18"/>
      <c r="H222" s="18"/>
      <c r="I222" s="18"/>
    </row>
    <row r="223" spans="2:9">
      <c r="B223" s="34"/>
      <c r="C223" s="18"/>
      <c r="D223" s="18"/>
      <c r="E223" s="18"/>
      <c r="F223" s="18"/>
      <c r="G223" s="18"/>
      <c r="H223" s="18"/>
      <c r="I223" s="18"/>
    </row>
    <row r="224" spans="2:9">
      <c r="B224" s="34"/>
      <c r="C224" s="18"/>
      <c r="D224" s="18"/>
      <c r="E224" s="18"/>
      <c r="F224" s="18"/>
      <c r="G224" s="18"/>
      <c r="H224" s="18"/>
      <c r="I224" s="18"/>
    </row>
    <row r="225" spans="2:9">
      <c r="B225" s="34"/>
      <c r="C225" s="18"/>
      <c r="D225" s="18"/>
      <c r="E225" s="18"/>
      <c r="F225" s="18"/>
      <c r="G225" s="18"/>
      <c r="H225" s="18"/>
      <c r="I225" s="18"/>
    </row>
    <row r="226" spans="2:9">
      <c r="B226" s="34"/>
      <c r="C226" s="18"/>
      <c r="D226" s="18"/>
      <c r="E226" s="18"/>
      <c r="F226" s="18"/>
      <c r="G226" s="18"/>
      <c r="H226" s="18"/>
      <c r="I226" s="18"/>
    </row>
    <row r="227" spans="2:9">
      <c r="B227" s="34"/>
      <c r="C227" s="18"/>
      <c r="D227" s="18"/>
      <c r="E227" s="18"/>
      <c r="F227" s="18"/>
      <c r="G227" s="18"/>
      <c r="H227" s="18"/>
      <c r="I227" s="18"/>
    </row>
    <row r="228" spans="2:9">
      <c r="B228" s="34"/>
      <c r="C228" s="18"/>
      <c r="D228" s="18"/>
      <c r="E228" s="18"/>
      <c r="F228" s="18"/>
      <c r="G228" s="18"/>
      <c r="H228" s="18"/>
      <c r="I228" s="18"/>
    </row>
    <row r="229" spans="2:9">
      <c r="B229" s="34"/>
      <c r="C229" s="18"/>
      <c r="D229" s="18"/>
      <c r="E229" s="18"/>
      <c r="F229" s="18"/>
      <c r="G229" s="18"/>
      <c r="H229" s="18"/>
      <c r="I229" s="18"/>
    </row>
    <row r="230" spans="2:9">
      <c r="B230" s="34"/>
      <c r="C230" s="18"/>
      <c r="D230" s="18"/>
      <c r="E230" s="18"/>
      <c r="F230" s="18"/>
      <c r="G230" s="18"/>
      <c r="H230" s="18"/>
      <c r="I230" s="18"/>
    </row>
    <row r="231" spans="2:9">
      <c r="B231" s="34"/>
      <c r="C231" s="18"/>
      <c r="D231" s="18"/>
      <c r="E231" s="18"/>
      <c r="F231" s="18"/>
      <c r="G231" s="18"/>
      <c r="H231" s="18"/>
      <c r="I231" s="18"/>
    </row>
    <row r="232" spans="2:9">
      <c r="B232" s="34"/>
      <c r="C232" s="18"/>
      <c r="D232" s="18"/>
      <c r="E232" s="18"/>
      <c r="F232" s="18"/>
      <c r="G232" s="18"/>
      <c r="H232" s="18"/>
      <c r="I232" s="18"/>
    </row>
    <row r="233" spans="2:9">
      <c r="B233" s="34"/>
      <c r="C233" s="18"/>
      <c r="D233" s="18"/>
      <c r="E233" s="18"/>
      <c r="F233" s="18"/>
      <c r="G233" s="18"/>
      <c r="H233" s="18"/>
      <c r="I233" s="18"/>
    </row>
    <row r="234" spans="2:9">
      <c r="B234" s="34"/>
      <c r="C234" s="18"/>
      <c r="D234" s="18"/>
      <c r="E234" s="18"/>
      <c r="F234" s="18"/>
      <c r="G234" s="18"/>
      <c r="H234" s="18"/>
      <c r="I234" s="18"/>
    </row>
    <row r="235" spans="2:9">
      <c r="B235" s="34"/>
      <c r="C235" s="18"/>
      <c r="D235" s="18"/>
      <c r="E235" s="18"/>
      <c r="F235" s="18"/>
      <c r="G235" s="18"/>
      <c r="H235" s="18"/>
      <c r="I235" s="18"/>
    </row>
    <row r="236" spans="2:9">
      <c r="B236" s="34"/>
      <c r="C236" s="18"/>
      <c r="D236" s="18"/>
      <c r="E236" s="18"/>
      <c r="F236" s="18"/>
      <c r="G236" s="18"/>
      <c r="H236" s="18"/>
      <c r="I236" s="18"/>
    </row>
    <row r="237" spans="2:9">
      <c r="B237" s="34"/>
      <c r="C237" s="18"/>
      <c r="D237" s="18"/>
      <c r="E237" s="18"/>
      <c r="F237" s="18"/>
      <c r="G237" s="18"/>
      <c r="H237" s="18"/>
      <c r="I237" s="18"/>
    </row>
    <row r="238" spans="2:9">
      <c r="B238" s="34"/>
      <c r="C238" s="18"/>
      <c r="D238" s="18"/>
      <c r="E238" s="18"/>
      <c r="F238" s="18"/>
      <c r="G238" s="18"/>
      <c r="H238" s="18"/>
      <c r="I238" s="18"/>
    </row>
    <row r="239" spans="2:9">
      <c r="B239" s="34"/>
      <c r="C239" s="18"/>
      <c r="D239" s="18"/>
      <c r="E239" s="18"/>
      <c r="F239" s="18"/>
      <c r="G239" s="18"/>
      <c r="H239" s="18"/>
      <c r="I239" s="18"/>
    </row>
    <row r="240" spans="2:9">
      <c r="B240" s="34"/>
      <c r="C240" s="18"/>
      <c r="D240" s="18"/>
      <c r="E240" s="18"/>
      <c r="F240" s="18"/>
      <c r="G240" s="18"/>
      <c r="H240" s="18"/>
      <c r="I240" s="18"/>
    </row>
    <row r="241" spans="2:9">
      <c r="B241" s="34"/>
      <c r="C241" s="18"/>
      <c r="D241" s="18"/>
      <c r="E241" s="18"/>
      <c r="F241" s="18"/>
      <c r="G241" s="18"/>
      <c r="H241" s="18"/>
      <c r="I241" s="18"/>
    </row>
    <row r="242" spans="2:9">
      <c r="B242" s="34"/>
      <c r="C242" s="18"/>
      <c r="D242" s="18"/>
      <c r="E242" s="18"/>
      <c r="F242" s="18"/>
      <c r="G242" s="18"/>
      <c r="H242" s="18"/>
      <c r="I242" s="18"/>
    </row>
    <row r="243" spans="2:9">
      <c r="B243" s="34"/>
      <c r="C243" s="18"/>
      <c r="D243" s="18"/>
      <c r="E243" s="18"/>
      <c r="F243" s="18"/>
      <c r="G243" s="18"/>
      <c r="H243" s="18"/>
      <c r="I243" s="18"/>
    </row>
    <row r="244" spans="2:9">
      <c r="B244" s="34"/>
      <c r="C244" s="18"/>
      <c r="D244" s="18"/>
      <c r="E244" s="18"/>
      <c r="F244" s="18"/>
      <c r="G244" s="18"/>
      <c r="H244" s="18"/>
      <c r="I244" s="18"/>
    </row>
    <row r="245" spans="2:9">
      <c r="B245" s="34"/>
      <c r="C245" s="18"/>
      <c r="D245" s="18"/>
      <c r="E245" s="18"/>
      <c r="F245" s="18"/>
      <c r="G245" s="18"/>
      <c r="H245" s="18"/>
      <c r="I245" s="18"/>
    </row>
    <row r="246" spans="2:9">
      <c r="B246" s="34"/>
      <c r="C246" s="18"/>
      <c r="D246" s="18"/>
      <c r="E246" s="18"/>
      <c r="F246" s="18"/>
      <c r="G246" s="18"/>
      <c r="H246" s="18"/>
      <c r="I246" s="18"/>
    </row>
    <row r="247" spans="2:9">
      <c r="B247" s="34"/>
      <c r="C247" s="18"/>
      <c r="D247" s="18"/>
      <c r="E247" s="18"/>
      <c r="F247" s="18"/>
      <c r="G247" s="18"/>
      <c r="H247" s="18"/>
      <c r="I247" s="18"/>
    </row>
    <row r="248" spans="2:9">
      <c r="B248" s="34"/>
      <c r="C248" s="18"/>
      <c r="D248" s="18"/>
      <c r="E248" s="18"/>
      <c r="F248" s="18"/>
      <c r="G248" s="18"/>
      <c r="H248" s="18"/>
      <c r="I248" s="18"/>
    </row>
    <row r="249" spans="2:9">
      <c r="B249" s="34"/>
      <c r="C249" s="18"/>
      <c r="D249" s="18"/>
      <c r="E249" s="18"/>
      <c r="F249" s="18"/>
      <c r="G249" s="18"/>
      <c r="H249" s="18"/>
      <c r="I249" s="18"/>
    </row>
    <row r="250" spans="2:9">
      <c r="B250" s="34"/>
      <c r="C250" s="18"/>
      <c r="D250" s="18"/>
      <c r="E250" s="18"/>
      <c r="F250" s="18"/>
      <c r="G250" s="18"/>
      <c r="H250" s="18"/>
      <c r="I250" s="18"/>
    </row>
    <row r="251" spans="2:9">
      <c r="B251" s="34"/>
      <c r="C251" s="18"/>
      <c r="D251" s="18"/>
      <c r="E251" s="18"/>
      <c r="F251" s="18"/>
      <c r="G251" s="18"/>
      <c r="H251" s="18"/>
      <c r="I251" s="18"/>
    </row>
    <row r="252" spans="2:9">
      <c r="B252" s="34"/>
      <c r="C252" s="18"/>
      <c r="D252" s="18"/>
      <c r="E252" s="18"/>
      <c r="F252" s="18"/>
      <c r="G252" s="18"/>
      <c r="H252" s="18"/>
      <c r="I252" s="18"/>
    </row>
    <row r="253" spans="2:9">
      <c r="B253" s="34"/>
      <c r="C253" s="18"/>
      <c r="D253" s="18"/>
      <c r="E253" s="18"/>
      <c r="F253" s="18"/>
      <c r="G253" s="18"/>
      <c r="H253" s="18"/>
      <c r="I253" s="18"/>
    </row>
    <row r="254" spans="2:9">
      <c r="B254" s="34"/>
      <c r="C254" s="18"/>
      <c r="D254" s="18"/>
      <c r="E254" s="18"/>
      <c r="F254" s="18"/>
      <c r="G254" s="18"/>
      <c r="H254" s="18"/>
      <c r="I254" s="18"/>
    </row>
    <row r="255" spans="2:9">
      <c r="B255" s="34"/>
      <c r="C255" s="18"/>
      <c r="D255" s="18"/>
      <c r="E255" s="18"/>
      <c r="F255" s="18"/>
      <c r="G255" s="18"/>
      <c r="H255" s="18"/>
      <c r="I255" s="18"/>
    </row>
    <row r="256" spans="2:9">
      <c r="B256" s="34"/>
      <c r="C256" s="18"/>
      <c r="D256" s="18"/>
      <c r="E256" s="18"/>
      <c r="F256" s="18"/>
      <c r="G256" s="18"/>
      <c r="H256" s="18"/>
      <c r="I256" s="18"/>
    </row>
    <row r="257" spans="2:9">
      <c r="B257" s="34"/>
      <c r="C257" s="18"/>
      <c r="D257" s="18"/>
      <c r="E257" s="18"/>
      <c r="F257" s="18"/>
      <c r="G257" s="18"/>
      <c r="H257" s="18"/>
      <c r="I257" s="18"/>
    </row>
    <row r="258" spans="2:9">
      <c r="B258" s="34"/>
      <c r="C258" s="18"/>
      <c r="D258" s="18"/>
      <c r="E258" s="18"/>
      <c r="F258" s="18"/>
      <c r="G258" s="18"/>
      <c r="H258" s="18"/>
      <c r="I258" s="18"/>
    </row>
    <row r="259" spans="2:9">
      <c r="B259" s="34"/>
      <c r="C259" s="18"/>
      <c r="D259" s="18"/>
      <c r="E259" s="18"/>
      <c r="F259" s="18"/>
      <c r="G259" s="18"/>
      <c r="H259" s="18"/>
      <c r="I259" s="18"/>
    </row>
    <row r="260" spans="2:9">
      <c r="B260" s="34"/>
      <c r="C260" s="18"/>
      <c r="D260" s="18"/>
      <c r="E260" s="18"/>
      <c r="F260" s="18"/>
      <c r="G260" s="18"/>
      <c r="H260" s="18"/>
      <c r="I260" s="18"/>
    </row>
    <row r="261" spans="2:9">
      <c r="B261" s="34"/>
      <c r="C261" s="18"/>
      <c r="D261" s="18"/>
      <c r="E261" s="18"/>
      <c r="F261" s="18"/>
      <c r="G261" s="18"/>
      <c r="H261" s="18"/>
      <c r="I261" s="18"/>
    </row>
    <row r="262" spans="2:9">
      <c r="B262" s="34"/>
      <c r="C262" s="18"/>
      <c r="D262" s="18"/>
      <c r="E262" s="18"/>
      <c r="F262" s="18"/>
      <c r="G262" s="18"/>
      <c r="H262" s="18"/>
      <c r="I262" s="18"/>
    </row>
    <row r="263" spans="2:9">
      <c r="B263" s="34"/>
      <c r="C263" s="18"/>
      <c r="D263" s="18"/>
      <c r="E263" s="18"/>
      <c r="F263" s="18"/>
      <c r="G263" s="18"/>
      <c r="H263" s="18"/>
      <c r="I263" s="18"/>
    </row>
    <row r="264" spans="2:9">
      <c r="B264" s="34"/>
      <c r="C264" s="18"/>
      <c r="D264" s="18"/>
      <c r="E264" s="18"/>
      <c r="F264" s="18"/>
      <c r="G264" s="18"/>
      <c r="H264" s="18"/>
      <c r="I264" s="18"/>
    </row>
    <row r="265" spans="2:9">
      <c r="B265" s="34"/>
      <c r="C265" s="18"/>
      <c r="D265" s="18"/>
      <c r="E265" s="18"/>
      <c r="F265" s="18"/>
      <c r="G265" s="18"/>
      <c r="H265" s="18"/>
      <c r="I265" s="18"/>
    </row>
    <row r="266" spans="2:9">
      <c r="B266" s="34"/>
      <c r="C266" s="18"/>
      <c r="D266" s="18"/>
      <c r="E266" s="18"/>
      <c r="F266" s="18"/>
      <c r="G266" s="18"/>
      <c r="H266" s="18"/>
      <c r="I266" s="18"/>
    </row>
    <row r="267" spans="2:9">
      <c r="B267" s="34"/>
      <c r="C267" s="18"/>
      <c r="D267" s="18"/>
      <c r="E267" s="18"/>
      <c r="F267" s="18"/>
      <c r="G267" s="18"/>
      <c r="H267" s="18"/>
      <c r="I267" s="18"/>
    </row>
    <row r="268" spans="2:9">
      <c r="B268" s="34"/>
      <c r="C268" s="18"/>
      <c r="D268" s="18"/>
      <c r="E268" s="18"/>
      <c r="F268" s="18"/>
      <c r="G268" s="18"/>
      <c r="H268" s="18"/>
      <c r="I268" s="18"/>
    </row>
    <row r="269" spans="2:9">
      <c r="B269" s="34"/>
      <c r="C269" s="18"/>
      <c r="D269" s="18"/>
      <c r="E269" s="18"/>
      <c r="F269" s="18"/>
      <c r="G269" s="18"/>
      <c r="H269" s="18"/>
      <c r="I269" s="18"/>
    </row>
    <row r="270" spans="2:9">
      <c r="B270" s="34"/>
      <c r="C270" s="18"/>
      <c r="D270" s="18"/>
      <c r="E270" s="18"/>
      <c r="F270" s="18"/>
      <c r="G270" s="18"/>
      <c r="H270" s="18"/>
      <c r="I270" s="18"/>
    </row>
    <row r="271" spans="2:9">
      <c r="B271" s="34"/>
      <c r="C271" s="18"/>
      <c r="D271" s="18"/>
      <c r="E271" s="18"/>
      <c r="F271" s="18"/>
      <c r="G271" s="18"/>
      <c r="H271" s="18"/>
      <c r="I271" s="18"/>
    </row>
    <row r="272" spans="2:9">
      <c r="B272" s="34"/>
      <c r="C272" s="18"/>
      <c r="D272" s="18"/>
      <c r="E272" s="18"/>
      <c r="F272" s="18"/>
      <c r="G272" s="18"/>
      <c r="H272" s="18"/>
      <c r="I272" s="18"/>
    </row>
    <row r="273" spans="2:9">
      <c r="B273" s="34"/>
      <c r="C273" s="18"/>
      <c r="D273" s="18"/>
      <c r="E273" s="18"/>
      <c r="F273" s="18"/>
      <c r="G273" s="18"/>
      <c r="H273" s="18"/>
      <c r="I273" s="18"/>
    </row>
    <row r="274" spans="2:9">
      <c r="B274" s="34"/>
      <c r="C274" s="18"/>
      <c r="D274" s="18"/>
      <c r="E274" s="18"/>
      <c r="F274" s="18"/>
      <c r="G274" s="18"/>
      <c r="H274" s="18"/>
      <c r="I274" s="18"/>
    </row>
    <row r="275" spans="2:9">
      <c r="B275" s="34"/>
      <c r="C275" s="18"/>
      <c r="D275" s="18"/>
      <c r="E275" s="18"/>
      <c r="F275" s="18"/>
      <c r="G275" s="18"/>
      <c r="H275" s="18"/>
      <c r="I275" s="18"/>
    </row>
    <row r="276" spans="2:9">
      <c r="B276" s="34"/>
      <c r="C276" s="18"/>
      <c r="D276" s="18"/>
      <c r="E276" s="18"/>
      <c r="F276" s="18"/>
      <c r="G276" s="18"/>
      <c r="H276" s="18"/>
      <c r="I276" s="18"/>
    </row>
    <row r="277" spans="2:9">
      <c r="B277" s="34"/>
      <c r="C277" s="18"/>
      <c r="D277" s="18"/>
      <c r="E277" s="18"/>
      <c r="F277" s="18"/>
      <c r="G277" s="18"/>
      <c r="H277" s="18"/>
      <c r="I277" s="18"/>
    </row>
    <row r="278" spans="2:9">
      <c r="B278" s="34"/>
      <c r="C278" s="18"/>
      <c r="D278" s="18"/>
      <c r="E278" s="18"/>
      <c r="F278" s="18"/>
      <c r="G278" s="18"/>
      <c r="H278" s="18"/>
      <c r="I278" s="18"/>
    </row>
    <row r="279" spans="2:9">
      <c r="B279" s="34"/>
      <c r="C279" s="18"/>
      <c r="D279" s="18"/>
      <c r="E279" s="18"/>
      <c r="F279" s="18"/>
      <c r="G279" s="18"/>
      <c r="H279" s="18"/>
      <c r="I279" s="18"/>
    </row>
    <row r="280" spans="2:9">
      <c r="B280" s="34"/>
      <c r="C280" s="18"/>
      <c r="D280" s="18"/>
      <c r="E280" s="18"/>
      <c r="F280" s="18"/>
      <c r="G280" s="18"/>
      <c r="H280" s="18"/>
      <c r="I280" s="18"/>
    </row>
    <row r="281" spans="2:9">
      <c r="B281" s="34"/>
      <c r="C281" s="18"/>
      <c r="D281" s="18"/>
      <c r="E281" s="18"/>
      <c r="F281" s="18"/>
      <c r="G281" s="18"/>
      <c r="H281" s="18"/>
      <c r="I281" s="18"/>
    </row>
    <row r="282" spans="2:9">
      <c r="B282" s="34"/>
      <c r="C282" s="18"/>
      <c r="D282" s="18"/>
      <c r="E282" s="18"/>
      <c r="F282" s="18"/>
      <c r="G282" s="18"/>
      <c r="H282" s="18"/>
      <c r="I282" s="18"/>
    </row>
    <row r="283" spans="2:9">
      <c r="B283" s="34"/>
      <c r="C283" s="18"/>
      <c r="D283" s="18"/>
      <c r="E283" s="18"/>
      <c r="F283" s="18"/>
      <c r="G283" s="18"/>
      <c r="H283" s="18"/>
      <c r="I283" s="18"/>
    </row>
    <row r="284" spans="2:9">
      <c r="B284" s="34"/>
      <c r="C284" s="18"/>
      <c r="D284" s="18"/>
      <c r="E284" s="18"/>
      <c r="F284" s="18"/>
      <c r="G284" s="18"/>
      <c r="H284" s="18"/>
      <c r="I284" s="18"/>
    </row>
    <row r="285" spans="2:9">
      <c r="B285" s="34"/>
      <c r="C285" s="18"/>
      <c r="D285" s="18"/>
      <c r="E285" s="18"/>
      <c r="F285" s="18"/>
      <c r="G285" s="18"/>
      <c r="H285" s="18"/>
      <c r="I285" s="18"/>
    </row>
    <row r="286" spans="2:9">
      <c r="B286" s="34"/>
      <c r="C286" s="18"/>
      <c r="D286" s="18"/>
      <c r="E286" s="18"/>
      <c r="F286" s="18"/>
      <c r="G286" s="18"/>
      <c r="H286" s="18"/>
      <c r="I286" s="18"/>
    </row>
    <row r="287" spans="2:9">
      <c r="B287" s="34"/>
      <c r="C287" s="18"/>
      <c r="D287" s="18"/>
      <c r="E287" s="18"/>
      <c r="F287" s="18"/>
      <c r="G287" s="18"/>
      <c r="H287" s="18"/>
      <c r="I287" s="18"/>
    </row>
    <row r="288" spans="2:9">
      <c r="B288" s="34"/>
      <c r="C288" s="18"/>
      <c r="D288" s="18"/>
      <c r="E288" s="18"/>
      <c r="F288" s="18"/>
      <c r="G288" s="18"/>
      <c r="H288" s="18"/>
      <c r="I288" s="18"/>
    </row>
    <row r="289" spans="2:9">
      <c r="B289" s="34"/>
      <c r="C289" s="18"/>
      <c r="D289" s="18"/>
      <c r="E289" s="18"/>
      <c r="F289" s="18"/>
      <c r="G289" s="18"/>
      <c r="H289" s="18"/>
      <c r="I289" s="18"/>
    </row>
    <row r="290" spans="2:9">
      <c r="B290" s="34"/>
      <c r="C290" s="18"/>
      <c r="D290" s="18"/>
      <c r="E290" s="18"/>
      <c r="F290" s="18"/>
      <c r="G290" s="18"/>
      <c r="H290" s="18"/>
      <c r="I290" s="18"/>
    </row>
    <row r="291" spans="2:9">
      <c r="B291" s="34"/>
      <c r="C291" s="18"/>
      <c r="D291" s="18"/>
      <c r="E291" s="18"/>
      <c r="F291" s="18"/>
      <c r="G291" s="18"/>
      <c r="H291" s="18"/>
      <c r="I291" s="18"/>
    </row>
    <row r="292" spans="2:9">
      <c r="B292" s="34"/>
      <c r="C292" s="18"/>
      <c r="D292" s="18"/>
      <c r="E292" s="18"/>
      <c r="F292" s="18"/>
      <c r="G292" s="18"/>
      <c r="H292" s="18"/>
      <c r="I292" s="18"/>
    </row>
    <row r="293" spans="2:9">
      <c r="B293" s="34"/>
      <c r="C293" s="18"/>
      <c r="D293" s="18"/>
      <c r="E293" s="18"/>
      <c r="F293" s="18"/>
      <c r="G293" s="18"/>
      <c r="H293" s="18"/>
      <c r="I293" s="18"/>
    </row>
    <row r="294" spans="2:9">
      <c r="B294" s="34"/>
      <c r="C294" s="18"/>
      <c r="D294" s="18"/>
      <c r="E294" s="18"/>
      <c r="F294" s="18"/>
      <c r="G294" s="18"/>
      <c r="H294" s="18"/>
      <c r="I294" s="18"/>
    </row>
    <row r="295" spans="2:9">
      <c r="B295" s="34"/>
      <c r="C295" s="18"/>
      <c r="D295" s="18"/>
      <c r="E295" s="18"/>
      <c r="F295" s="18"/>
      <c r="G295" s="18"/>
      <c r="H295" s="18"/>
      <c r="I295" s="18"/>
    </row>
    <row r="296" spans="2:9">
      <c r="B296" s="34"/>
      <c r="C296" s="18"/>
      <c r="D296" s="18"/>
      <c r="E296" s="18"/>
      <c r="F296" s="18"/>
      <c r="G296" s="18"/>
      <c r="H296" s="18"/>
      <c r="I296" s="18"/>
    </row>
    <row r="297" spans="2:9">
      <c r="B297" s="34"/>
      <c r="C297" s="18"/>
      <c r="D297" s="18"/>
      <c r="E297" s="18"/>
      <c r="F297" s="18"/>
      <c r="G297" s="18"/>
      <c r="H297" s="18"/>
      <c r="I297" s="18"/>
    </row>
    <row r="298" spans="2:9">
      <c r="B298" s="34"/>
      <c r="C298" s="18"/>
      <c r="D298" s="18"/>
      <c r="E298" s="18"/>
      <c r="F298" s="18"/>
      <c r="G298" s="18"/>
      <c r="H298" s="18"/>
      <c r="I298" s="18"/>
    </row>
    <row r="299" spans="2:9">
      <c r="B299" s="34"/>
      <c r="C299" s="18"/>
      <c r="D299" s="18"/>
      <c r="E299" s="18"/>
      <c r="F299" s="18"/>
      <c r="G299" s="18"/>
      <c r="H299" s="18"/>
      <c r="I299" s="18"/>
    </row>
    <row r="300" spans="2:9">
      <c r="B300" s="34"/>
      <c r="C300" s="18"/>
      <c r="D300" s="18"/>
      <c r="E300" s="18"/>
      <c r="F300" s="18"/>
      <c r="G300" s="18"/>
      <c r="H300" s="18"/>
      <c r="I300" s="18"/>
    </row>
    <row r="301" spans="2:9">
      <c r="B301" s="34"/>
      <c r="C301" s="18"/>
      <c r="D301" s="18"/>
      <c r="E301" s="18"/>
      <c r="F301" s="18"/>
      <c r="G301" s="18"/>
      <c r="H301" s="18"/>
      <c r="I301" s="18"/>
    </row>
    <row r="302" spans="2:9">
      <c r="B302" s="34"/>
      <c r="C302" s="18"/>
      <c r="D302" s="18"/>
      <c r="E302" s="18"/>
      <c r="F302" s="18"/>
      <c r="G302" s="18"/>
      <c r="H302" s="18"/>
      <c r="I302" s="18"/>
    </row>
    <row r="303" spans="2:9">
      <c r="B303" s="34"/>
      <c r="C303" s="18"/>
      <c r="D303" s="18"/>
      <c r="E303" s="18"/>
      <c r="F303" s="18"/>
      <c r="G303" s="18"/>
      <c r="H303" s="18"/>
      <c r="I303" s="18"/>
    </row>
    <row r="304" spans="2:9">
      <c r="B304" s="34"/>
      <c r="C304" s="18"/>
      <c r="D304" s="18"/>
      <c r="E304" s="18"/>
      <c r="F304" s="18"/>
      <c r="G304" s="18"/>
      <c r="H304" s="18"/>
      <c r="I304" s="18"/>
    </row>
    <row r="305" spans="2:9">
      <c r="B305" s="34"/>
      <c r="C305" s="18"/>
      <c r="D305" s="18"/>
      <c r="E305" s="18"/>
      <c r="F305" s="18"/>
      <c r="G305" s="18"/>
      <c r="H305" s="18"/>
      <c r="I305" s="18"/>
    </row>
    <row r="306" spans="2:9">
      <c r="B306" s="34"/>
      <c r="C306" s="18"/>
      <c r="D306" s="18"/>
      <c r="E306" s="18"/>
      <c r="F306" s="18"/>
      <c r="G306" s="18"/>
      <c r="H306" s="18"/>
      <c r="I306" s="18"/>
    </row>
    <row r="307" spans="2:9">
      <c r="B307" s="34"/>
      <c r="C307" s="18"/>
      <c r="D307" s="18"/>
      <c r="E307" s="18"/>
      <c r="F307" s="18"/>
      <c r="G307" s="18"/>
      <c r="H307" s="18"/>
      <c r="I307" s="18"/>
    </row>
    <row r="308" spans="2:9">
      <c r="B308" s="34"/>
      <c r="C308" s="18"/>
      <c r="D308" s="18"/>
      <c r="E308" s="18"/>
      <c r="F308" s="18"/>
      <c r="G308" s="18"/>
      <c r="H308" s="18"/>
      <c r="I308" s="18"/>
    </row>
    <row r="309" spans="2:9">
      <c r="B309" s="34"/>
      <c r="C309" s="18"/>
      <c r="D309" s="18"/>
      <c r="E309" s="18"/>
      <c r="F309" s="18"/>
      <c r="G309" s="18"/>
      <c r="H309" s="18"/>
      <c r="I309" s="18"/>
    </row>
    <row r="310" spans="2:9">
      <c r="B310" s="34"/>
      <c r="C310" s="18"/>
      <c r="D310" s="18"/>
      <c r="E310" s="18"/>
      <c r="F310" s="18"/>
      <c r="G310" s="18"/>
      <c r="H310" s="18"/>
      <c r="I310" s="18"/>
    </row>
    <row r="311" spans="2:9">
      <c r="B311" s="34"/>
      <c r="C311" s="18"/>
      <c r="D311" s="18"/>
      <c r="E311" s="18"/>
      <c r="F311" s="18"/>
      <c r="G311" s="18"/>
      <c r="H311" s="18"/>
      <c r="I311" s="18"/>
    </row>
    <row r="312" spans="2:9">
      <c r="B312" s="34"/>
      <c r="C312" s="18"/>
      <c r="D312" s="18"/>
      <c r="E312" s="18"/>
      <c r="F312" s="18"/>
      <c r="G312" s="18"/>
      <c r="H312" s="18"/>
      <c r="I312" s="18"/>
    </row>
    <row r="313" spans="2:9">
      <c r="B313" s="34"/>
      <c r="C313" s="18"/>
      <c r="D313" s="18"/>
      <c r="E313" s="18"/>
      <c r="F313" s="18"/>
      <c r="G313" s="18"/>
      <c r="H313" s="18"/>
      <c r="I313" s="18"/>
    </row>
    <row r="314" spans="2:9">
      <c r="B314" s="34"/>
      <c r="C314" s="18"/>
      <c r="D314" s="18"/>
      <c r="E314" s="18"/>
      <c r="F314" s="18"/>
      <c r="G314" s="18"/>
      <c r="H314" s="18"/>
      <c r="I314" s="18"/>
    </row>
    <row r="315" spans="2:9">
      <c r="B315" s="34"/>
      <c r="C315" s="18"/>
      <c r="D315" s="18"/>
      <c r="E315" s="18"/>
      <c r="F315" s="18"/>
      <c r="G315" s="18"/>
      <c r="H315" s="18"/>
      <c r="I315" s="18"/>
    </row>
    <row r="316" spans="2:9">
      <c r="B316" s="34"/>
      <c r="C316" s="18"/>
      <c r="D316" s="18"/>
      <c r="E316" s="18"/>
      <c r="F316" s="18"/>
      <c r="G316" s="18"/>
      <c r="H316" s="18"/>
      <c r="I316" s="18"/>
    </row>
    <row r="317" spans="2:9">
      <c r="B317" s="34"/>
      <c r="C317" s="18"/>
      <c r="D317" s="18"/>
      <c r="E317" s="18"/>
      <c r="F317" s="18"/>
      <c r="G317" s="18"/>
      <c r="H317" s="18"/>
      <c r="I317" s="18"/>
    </row>
    <row r="318" spans="2:9">
      <c r="B318" s="34"/>
      <c r="C318" s="18"/>
      <c r="D318" s="18"/>
      <c r="E318" s="18"/>
      <c r="F318" s="18"/>
      <c r="G318" s="18"/>
      <c r="H318" s="18"/>
      <c r="I318" s="18"/>
    </row>
    <row r="319" spans="2:9">
      <c r="B319" s="34"/>
      <c r="C319" s="18"/>
      <c r="D319" s="18"/>
      <c r="E319" s="18"/>
      <c r="F319" s="18"/>
      <c r="G319" s="18"/>
      <c r="H319" s="18"/>
      <c r="I319" s="18"/>
    </row>
    <row r="320" spans="2:9">
      <c r="B320" s="34"/>
      <c r="C320" s="18"/>
      <c r="D320" s="18"/>
      <c r="E320" s="18"/>
      <c r="F320" s="18"/>
      <c r="G320" s="18"/>
      <c r="H320" s="18"/>
      <c r="I320" s="18"/>
    </row>
    <row r="321" spans="2:9">
      <c r="B321" s="34"/>
      <c r="C321" s="18"/>
      <c r="D321" s="18"/>
      <c r="E321" s="18"/>
      <c r="F321" s="18"/>
      <c r="G321" s="18"/>
      <c r="H321" s="18"/>
      <c r="I321" s="18"/>
    </row>
    <row r="322" spans="2:9">
      <c r="B322" s="34"/>
      <c r="C322" s="18"/>
      <c r="D322" s="18"/>
      <c r="E322" s="18"/>
      <c r="F322" s="18"/>
      <c r="G322" s="18"/>
      <c r="H322" s="18"/>
      <c r="I322" s="18"/>
    </row>
    <row r="323" spans="2:9">
      <c r="B323" s="34"/>
      <c r="C323" s="18"/>
      <c r="D323" s="18"/>
      <c r="E323" s="18"/>
      <c r="F323" s="18"/>
      <c r="G323" s="18"/>
      <c r="H323" s="18"/>
      <c r="I323" s="18"/>
    </row>
    <row r="324" spans="2:9">
      <c r="B324" s="34"/>
      <c r="C324" s="18"/>
      <c r="D324" s="18"/>
      <c r="E324" s="18"/>
      <c r="F324" s="18"/>
      <c r="G324" s="18"/>
      <c r="H324" s="18"/>
      <c r="I324" s="18"/>
    </row>
    <row r="325" spans="2:9">
      <c r="B325" s="34"/>
      <c r="C325" s="18"/>
      <c r="D325" s="18"/>
      <c r="E325" s="18"/>
      <c r="F325" s="18"/>
      <c r="G325" s="18"/>
      <c r="H325" s="18"/>
      <c r="I325" s="18"/>
    </row>
    <row r="326" spans="2:9">
      <c r="B326" s="34"/>
      <c r="C326" s="18"/>
      <c r="D326" s="18"/>
      <c r="E326" s="18"/>
      <c r="F326" s="18"/>
      <c r="G326" s="18"/>
      <c r="H326" s="18"/>
      <c r="I326" s="18"/>
    </row>
    <row r="327" spans="2:9">
      <c r="B327" s="34"/>
      <c r="C327" s="18"/>
      <c r="D327" s="18"/>
      <c r="E327" s="18"/>
      <c r="F327" s="18"/>
      <c r="G327" s="18"/>
      <c r="H327" s="18"/>
      <c r="I327" s="18"/>
    </row>
    <row r="328" spans="2:9">
      <c r="B328" s="34"/>
      <c r="C328" s="18"/>
      <c r="D328" s="18"/>
      <c r="E328" s="18"/>
      <c r="F328" s="18"/>
      <c r="G328" s="18"/>
      <c r="H328" s="18"/>
      <c r="I328" s="18"/>
    </row>
    <row r="329" spans="2:9">
      <c r="B329" s="34"/>
      <c r="C329" s="18"/>
      <c r="D329" s="18"/>
      <c r="E329" s="18"/>
      <c r="F329" s="18"/>
      <c r="G329" s="18"/>
      <c r="H329" s="18"/>
      <c r="I329" s="18"/>
    </row>
    <row r="330" spans="2:9">
      <c r="B330" s="34"/>
      <c r="C330" s="18"/>
      <c r="D330" s="18"/>
      <c r="E330" s="18"/>
      <c r="F330" s="18"/>
      <c r="G330" s="18"/>
      <c r="H330" s="18"/>
      <c r="I330" s="18"/>
    </row>
    <row r="331" spans="2:9">
      <c r="B331" s="34"/>
      <c r="C331" s="18"/>
      <c r="D331" s="18"/>
      <c r="E331" s="18"/>
      <c r="F331" s="18"/>
      <c r="G331" s="18"/>
      <c r="H331" s="18"/>
      <c r="I331" s="18"/>
    </row>
    <row r="332" spans="2:9">
      <c r="B332" s="34"/>
      <c r="C332" s="18"/>
      <c r="D332" s="18"/>
      <c r="E332" s="18"/>
      <c r="F332" s="18"/>
      <c r="G332" s="18"/>
      <c r="H332" s="18"/>
      <c r="I332" s="18"/>
    </row>
    <row r="333" spans="2:9">
      <c r="B333" s="34"/>
      <c r="C333" s="18"/>
      <c r="D333" s="18"/>
      <c r="E333" s="18"/>
      <c r="F333" s="18"/>
      <c r="G333" s="18"/>
      <c r="H333" s="18"/>
      <c r="I333" s="18"/>
    </row>
    <row r="334" spans="2:9">
      <c r="B334" s="34"/>
      <c r="C334" s="18"/>
      <c r="D334" s="18"/>
      <c r="E334" s="18"/>
      <c r="F334" s="18"/>
      <c r="G334" s="18"/>
      <c r="H334" s="18"/>
      <c r="I334" s="18"/>
    </row>
    <row r="335" spans="2:9">
      <c r="B335" s="34"/>
      <c r="C335" s="18"/>
      <c r="D335" s="18"/>
      <c r="E335" s="18"/>
      <c r="F335" s="18"/>
      <c r="G335" s="18"/>
      <c r="H335" s="18"/>
      <c r="I335" s="18"/>
    </row>
    <row r="336" spans="2:9">
      <c r="B336" s="34"/>
      <c r="C336" s="18"/>
      <c r="D336" s="18"/>
      <c r="E336" s="18"/>
      <c r="F336" s="18"/>
      <c r="G336" s="18"/>
      <c r="H336" s="18"/>
      <c r="I336" s="18"/>
    </row>
    <row r="337" spans="2:9">
      <c r="B337" s="34"/>
      <c r="C337" s="18"/>
      <c r="D337" s="18"/>
      <c r="E337" s="18"/>
      <c r="F337" s="18"/>
      <c r="G337" s="18"/>
      <c r="H337" s="18"/>
      <c r="I337" s="18"/>
    </row>
    <row r="338" spans="2:9">
      <c r="B338" s="34"/>
      <c r="C338" s="18"/>
      <c r="D338" s="18"/>
      <c r="E338" s="18"/>
      <c r="F338" s="18"/>
      <c r="G338" s="18"/>
      <c r="H338" s="18"/>
      <c r="I338" s="18"/>
    </row>
    <row r="339" spans="2:9">
      <c r="B339" s="34"/>
      <c r="C339" s="18"/>
      <c r="D339" s="18"/>
      <c r="E339" s="18"/>
      <c r="F339" s="18"/>
      <c r="G339" s="18"/>
      <c r="H339" s="18"/>
      <c r="I339" s="18"/>
    </row>
    <row r="340" spans="2:9">
      <c r="B340" s="34"/>
      <c r="C340" s="18"/>
      <c r="D340" s="18"/>
      <c r="E340" s="18"/>
      <c r="F340" s="18"/>
      <c r="G340" s="18"/>
      <c r="H340" s="18"/>
      <c r="I340" s="18"/>
    </row>
    <row r="341" spans="2:9">
      <c r="B341" s="34"/>
      <c r="C341" s="18"/>
      <c r="D341" s="18"/>
      <c r="E341" s="18"/>
      <c r="F341" s="18"/>
      <c r="G341" s="18"/>
      <c r="H341" s="18"/>
      <c r="I341" s="18"/>
    </row>
    <row r="342" spans="2:9">
      <c r="B342" s="34"/>
      <c r="C342" s="18"/>
      <c r="D342" s="18"/>
      <c r="E342" s="18"/>
      <c r="F342" s="18"/>
      <c r="G342" s="18"/>
      <c r="H342" s="18"/>
      <c r="I342" s="18"/>
    </row>
  </sheetData>
  <mergeCells count="1">
    <mergeCell ref="B1:I1"/>
  </mergeCells>
  <phoneticPr fontId="1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'Validation List'!$C$3:$C$16</xm:f>
          </x14:formula1>
          <xm:sqref>H4:H23</xm:sqref>
        </x14:dataValidation>
        <x14:dataValidation type="list" allowBlank="1" showInputMessage="1" showErrorMessage="1">
          <x14:formula1>
            <xm:f>'Validation List'!$E$3:$E$14</xm:f>
          </x14:formula1>
          <xm:sqref>I4:I23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12"/>
  <sheetViews>
    <sheetView zoomScale="70" workbookViewId="0">
      <selection activeCell="C8" sqref="C8"/>
    </sheetView>
  </sheetViews>
  <sheetFormatPr defaultRowHeight="13.8"/>
  <cols>
    <col min="2" max="2" width="15.09765625" customWidth="1"/>
    <col min="3" max="3" width="12.09765625" bestFit="1" customWidth="1"/>
    <col min="8" max="8" width="11.5" bestFit="1" customWidth="1"/>
    <col min="9" max="9" width="15.5" bestFit="1" customWidth="1"/>
    <col min="10" max="10" width="18.19921875" bestFit="1" customWidth="1"/>
    <col min="13" max="13" width="12.69921875" bestFit="1" customWidth="1"/>
    <col min="14" max="14" width="15.59765625" bestFit="1" customWidth="1"/>
    <col min="15" max="15" width="15.5" bestFit="1" customWidth="1"/>
    <col min="16" max="16" width="16.19921875" customWidth="1"/>
    <col min="20" max="20" width="19.19921875" bestFit="1" customWidth="1"/>
    <col min="21" max="21" width="15.5" bestFit="1" customWidth="1"/>
    <col min="22" max="22" width="10.5" customWidth="1"/>
    <col min="26" max="26" width="29.09765625" bestFit="1" customWidth="1"/>
    <col min="27" max="27" width="15.5" bestFit="1" customWidth="1"/>
    <col min="28" max="28" width="23.796875" customWidth="1"/>
  </cols>
  <sheetData>
    <row r="1" spans="2:29">
      <c r="H1" t="s">
        <v>17</v>
      </c>
      <c r="I1" t="s">
        <v>18</v>
      </c>
      <c r="J1" t="s">
        <v>19</v>
      </c>
      <c r="N1" s="7" t="s">
        <v>10</v>
      </c>
      <c r="O1" t="s">
        <v>55</v>
      </c>
      <c r="T1" s="7" t="s">
        <v>32</v>
      </c>
      <c r="U1" t="s">
        <v>55</v>
      </c>
      <c r="Z1" s="7" t="s">
        <v>61</v>
      </c>
      <c r="AA1" t="s">
        <v>55</v>
      </c>
    </row>
    <row r="2" spans="2:29">
      <c r="B2" t="s">
        <v>16</v>
      </c>
      <c r="H2" s="5">
        <v>46143</v>
      </c>
      <c r="I2">
        <f>SUMIFS(NPT[Hours (hr)], NPT[Date], "&gt;=" &amp; H2, NPT[Date], "&lt;=" &amp; EOMONTH(H2,0))</f>
        <v>216</v>
      </c>
      <c r="J2" s="21">
        <f>SUMIFS(NPT[NPT Cost 
($)], NPT[Date], "&gt;=" &amp; H2, NPT[Date], "&lt;=" &amp; EOMONTH(H2,0))</f>
        <v>2137405.5066475002</v>
      </c>
      <c r="N2" s="8" t="s">
        <v>30</v>
      </c>
      <c r="O2" s="4">
        <v>140</v>
      </c>
      <c r="P2" t="str">
        <f>IF(ISBLANK(N2),NA(),N2)</f>
        <v>Human Error</v>
      </c>
      <c r="Q2">
        <f>IF(ISBLANK(O2),NA(),O2)</f>
        <v>140</v>
      </c>
      <c r="T2" s="8" t="s">
        <v>46</v>
      </c>
      <c r="U2" s="4">
        <v>11</v>
      </c>
      <c r="V2" t="str">
        <f>IF(ISBLANK(T2),NA(),T2)</f>
        <v>Clinton</v>
      </c>
      <c r="W2">
        <f>IF(ISBLANK(U2),NA(),U2)</f>
        <v>11</v>
      </c>
      <c r="Z2" s="8" t="s">
        <v>62</v>
      </c>
      <c r="AA2" s="4">
        <v>2.5</v>
      </c>
      <c r="AB2" t="str">
        <f>IF(ISBLANK(Z2),NA(),Z2)</f>
        <v>Conductor Piling/Cleanout</v>
      </c>
      <c r="AC2">
        <f>IF(ISBLANK(AA2),NA(),AA2)</f>
        <v>2.5</v>
      </c>
    </row>
    <row r="3" spans="2:29">
      <c r="B3" t="s">
        <v>11</v>
      </c>
      <c r="C3" s="36">
        <f>Date!F3*24</f>
        <v>2415</v>
      </c>
      <c r="D3" t="s">
        <v>13</v>
      </c>
      <c r="E3" s="35">
        <f>C3/24</f>
        <v>100.625</v>
      </c>
      <c r="F3" t="s">
        <v>79</v>
      </c>
      <c r="H3" s="5">
        <v>46174</v>
      </c>
      <c r="I3">
        <f>SUMIFS(NPT[Hours (hr)], NPT[Date], "&gt;=" &amp; H3, NPT[Hours (hr)], "&lt;=" &amp; EOMONTH(H3,0))</f>
        <v>143</v>
      </c>
      <c r="J3" s="21">
        <f>SUMIFS(NPT[NPT Cost 
($)], NPT[Date], "&gt;=" &amp; H3, NPT[Date], "&lt;=" &amp; EOMONTH(H3,0))</f>
        <v>1621039.6914991667</v>
      </c>
      <c r="N3" s="8" t="s">
        <v>39</v>
      </c>
      <c r="O3" s="4">
        <v>132</v>
      </c>
      <c r="P3" t="str">
        <f t="shared" ref="P3:P7" si="0">IF(ISBLANK(N3),NA(),N3)</f>
        <v>Equipment Failure</v>
      </c>
      <c r="Q3">
        <f t="shared" ref="Q3:Q7" si="1">IF(ISBLANK(O3),NA(),O3)</f>
        <v>132</v>
      </c>
      <c r="T3" s="8" t="s">
        <v>51</v>
      </c>
      <c r="U3" s="4">
        <v>140</v>
      </c>
      <c r="V3" t="str">
        <f t="shared" ref="V3:W8" si="2">IF(ISBLANK(T3),NA(),T3)</f>
        <v>Geowell</v>
      </c>
      <c r="W3">
        <f t="shared" si="2"/>
        <v>140</v>
      </c>
      <c r="Z3" s="8" t="s">
        <v>59</v>
      </c>
      <c r="AA3" s="4">
        <v>188.5</v>
      </c>
      <c r="AB3" t="str">
        <f t="shared" ref="AB3:AC7" si="3">IF(ISBLANK(Z3),NA(),Z3)</f>
        <v>17-1/2" x  23" Hole Section</v>
      </c>
      <c r="AC3">
        <f t="shared" si="3"/>
        <v>188.5</v>
      </c>
    </row>
    <row r="4" spans="2:29">
      <c r="B4" t="s">
        <v>12</v>
      </c>
      <c r="C4" s="35">
        <f>SUM(I10:I12)</f>
        <v>359</v>
      </c>
      <c r="D4" t="s">
        <v>13</v>
      </c>
      <c r="E4" s="35">
        <f>C4/24</f>
        <v>14.958333333333334</v>
      </c>
      <c r="F4" t="s">
        <v>79</v>
      </c>
      <c r="H4" s="5">
        <v>46204</v>
      </c>
      <c r="I4">
        <f>SUMIFS(NPT[Hours (hr)], NPT[Date], "&gt;=" &amp; H4, NPT[Hours (hr)], "&lt;=" &amp; EOMONTH(H4,0))</f>
        <v>11.5</v>
      </c>
      <c r="J4" s="21">
        <f>SUMIFS(NPT[NPT Cost 
($)], NPT[Date], "&gt;=" &amp; H4, NPT[Date], "&lt;=" &amp; EOMONTH(H4,0))</f>
        <v>136565.16015228152</v>
      </c>
      <c r="N4" s="8" t="s">
        <v>20</v>
      </c>
      <c r="O4" s="4">
        <v>70.5</v>
      </c>
      <c r="P4" t="str">
        <f t="shared" si="0"/>
        <v>Mechanical</v>
      </c>
      <c r="Q4">
        <f t="shared" si="1"/>
        <v>70.5</v>
      </c>
      <c r="T4" s="8" t="s">
        <v>42</v>
      </c>
      <c r="U4" s="4">
        <v>153</v>
      </c>
      <c r="V4" t="str">
        <f t="shared" si="2"/>
        <v>SMS Joy</v>
      </c>
      <c r="W4">
        <f t="shared" si="2"/>
        <v>153</v>
      </c>
      <c r="Z4" s="8" t="s">
        <v>60</v>
      </c>
      <c r="AA4" s="4">
        <v>44</v>
      </c>
      <c r="AB4" t="str">
        <f t="shared" si="3"/>
        <v>16" Hole Section</v>
      </c>
      <c r="AC4">
        <f t="shared" si="3"/>
        <v>44</v>
      </c>
    </row>
    <row r="5" spans="2:29">
      <c r="B5" t="s">
        <v>14</v>
      </c>
      <c r="C5" s="37">
        <f>C4/C3</f>
        <v>0.14865424430641822</v>
      </c>
      <c r="E5" s="35"/>
      <c r="H5" s="5"/>
      <c r="J5" s="21"/>
      <c r="N5" s="8" t="s">
        <v>24</v>
      </c>
      <c r="O5" s="4">
        <v>11</v>
      </c>
      <c r="P5" t="str">
        <f t="shared" si="0"/>
        <v>Mud / Solids</v>
      </c>
      <c r="Q5">
        <f t="shared" si="1"/>
        <v>11</v>
      </c>
      <c r="T5" s="8" t="s">
        <v>52</v>
      </c>
      <c r="U5" s="4">
        <v>48.5</v>
      </c>
      <c r="V5" t="str">
        <f t="shared" si="2"/>
        <v>TBD</v>
      </c>
      <c r="W5">
        <f t="shared" si="2"/>
        <v>48.5</v>
      </c>
      <c r="Z5" s="8" t="s">
        <v>71</v>
      </c>
      <c r="AA5" s="4">
        <v>119.5</v>
      </c>
      <c r="AB5" t="str">
        <f t="shared" si="3"/>
        <v>12 1/4" Hole Section</v>
      </c>
      <c r="AC5">
        <f t="shared" si="3"/>
        <v>119.5</v>
      </c>
    </row>
    <row r="6" spans="2:29">
      <c r="B6" t="s">
        <v>15</v>
      </c>
      <c r="C6" s="24">
        <f>SUM(J10:J12)</f>
        <v>3895010.3582989485</v>
      </c>
      <c r="E6" s="35"/>
      <c r="N6" s="8" t="s">
        <v>74</v>
      </c>
      <c r="O6" s="4">
        <v>4</v>
      </c>
      <c r="P6" t="str">
        <f t="shared" si="0"/>
        <v>Wellhead</v>
      </c>
      <c r="Q6">
        <f t="shared" si="1"/>
        <v>4</v>
      </c>
      <c r="T6" s="8" t="s">
        <v>49</v>
      </c>
      <c r="U6" s="4">
        <v>1.0000000000000004</v>
      </c>
      <c r="V6" t="str">
        <f t="shared" si="2"/>
        <v>Mega Field</v>
      </c>
      <c r="W6">
        <f t="shared" si="2"/>
        <v>1.0000000000000004</v>
      </c>
      <c r="Z6" s="8" t="s">
        <v>81</v>
      </c>
      <c r="AA6" s="4">
        <v>1</v>
      </c>
      <c r="AB6" t="str">
        <f t="shared" si="3"/>
        <v>Perforation and Wellbore Cleanout</v>
      </c>
      <c r="AC6">
        <f t="shared" si="3"/>
        <v>1</v>
      </c>
    </row>
    <row r="7" spans="2:29">
      <c r="B7" t="s">
        <v>40</v>
      </c>
      <c r="C7" s="35">
        <f>C3-C4</f>
        <v>2056</v>
      </c>
      <c r="E7" s="35">
        <f>C7/24</f>
        <v>85.666666666666671</v>
      </c>
      <c r="F7" t="s">
        <v>79</v>
      </c>
      <c r="N7" s="8" t="s">
        <v>25</v>
      </c>
      <c r="O7" s="4">
        <v>1.5</v>
      </c>
      <c r="P7" t="str">
        <f t="shared" si="0"/>
        <v>Cementing</v>
      </c>
      <c r="Q7">
        <f t="shared" si="1"/>
        <v>1.5</v>
      </c>
      <c r="T7" s="8" t="s">
        <v>45</v>
      </c>
      <c r="U7" s="4">
        <v>1.5</v>
      </c>
      <c r="V7" t="str">
        <f t="shared" si="2"/>
        <v>MultiChase</v>
      </c>
      <c r="W7">
        <f t="shared" si="2"/>
        <v>1.5</v>
      </c>
      <c r="Z7" s="8" t="s">
        <v>84</v>
      </c>
      <c r="AA7" s="4">
        <v>3.5</v>
      </c>
      <c r="AB7" t="str">
        <f t="shared" si="3"/>
        <v>Completions</v>
      </c>
      <c r="AC7">
        <f t="shared" si="3"/>
        <v>3.5</v>
      </c>
    </row>
    <row r="8" spans="2:29">
      <c r="B8" t="s">
        <v>41</v>
      </c>
      <c r="C8" s="38">
        <f>1-C5</f>
        <v>0.85134575569358173</v>
      </c>
      <c r="T8" s="8" t="s">
        <v>73</v>
      </c>
      <c r="U8" s="4">
        <v>4</v>
      </c>
      <c r="V8" t="str">
        <f t="shared" si="2"/>
        <v>Ulla</v>
      </c>
      <c r="W8">
        <f t="shared" si="2"/>
        <v>4</v>
      </c>
    </row>
    <row r="9" spans="2:29">
      <c r="H9" s="7" t="s">
        <v>10</v>
      </c>
      <c r="I9" t="s">
        <v>55</v>
      </c>
      <c r="J9" t="s">
        <v>65</v>
      </c>
    </row>
    <row r="10" spans="2:29">
      <c r="H10" s="8" t="s">
        <v>63</v>
      </c>
      <c r="I10" s="4">
        <v>216</v>
      </c>
      <c r="J10">
        <v>2137405.5066475002</v>
      </c>
      <c r="K10" t="str">
        <f>IF(ISBLANK(H10),NA(),H10)</f>
        <v>May</v>
      </c>
      <c r="L10">
        <f>IF(ISBLANK(I10),NA(),I10)</f>
        <v>216</v>
      </c>
      <c r="M10" s="4">
        <f>IF(ISBLANK(J10),NA(),J10)</f>
        <v>2137405.5066475002</v>
      </c>
    </row>
    <row r="11" spans="2:29">
      <c r="H11" s="8" t="s">
        <v>64</v>
      </c>
      <c r="I11" s="4">
        <v>131.5</v>
      </c>
      <c r="J11">
        <v>1621039.6914991667</v>
      </c>
      <c r="K11" t="str">
        <f t="shared" ref="K11:K12" si="4">IF(ISBLANK(H11),NA(),H11)</f>
        <v>Jun</v>
      </c>
      <c r="L11">
        <f t="shared" ref="L11:L12" si="5">IF(ISBLANK(I11),NA(),I11)</f>
        <v>131.5</v>
      </c>
      <c r="M11">
        <f t="shared" ref="M11:M12" si="6">IF(ISBLANK(J11),NA(),J11)</f>
        <v>1621039.6914991667</v>
      </c>
    </row>
    <row r="12" spans="2:29">
      <c r="H12" s="8" t="s">
        <v>78</v>
      </c>
      <c r="I12" s="4">
        <v>11.5</v>
      </c>
      <c r="J12">
        <v>136565.16015228152</v>
      </c>
      <c r="K12" t="str">
        <f t="shared" si="4"/>
        <v>Jul</v>
      </c>
      <c r="L12">
        <f t="shared" si="5"/>
        <v>11.5</v>
      </c>
      <c r="M12">
        <f t="shared" si="6"/>
        <v>136565.16015228152</v>
      </c>
    </row>
  </sheetData>
  <pageMargins left="0.7" right="0.7" top="0.75" bottom="0.75" header="0.3" footer="0.3"/>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52"/>
  <sheetViews>
    <sheetView showGridLines="0" zoomScale="50" zoomScaleNormal="50" workbookViewId="0">
      <selection activeCell="AA10" sqref="AA10"/>
    </sheetView>
  </sheetViews>
  <sheetFormatPr defaultRowHeight="13.8"/>
  <cols>
    <col min="1" max="1" width="7.796875" customWidth="1"/>
    <col min="2" max="2" width="0.8984375" customWidth="1"/>
    <col min="3" max="19" width="11.59765625" customWidth="1"/>
    <col min="20" max="20" width="1.19921875" customWidth="1"/>
  </cols>
  <sheetData>
    <row r="1" spans="2:27" ht="21.45" customHeight="1"/>
    <row r="2" spans="2:27" ht="7.05" customHeight="1">
      <c r="B2" s="41" t="s">
        <v>66</v>
      </c>
      <c r="C2" s="41"/>
      <c r="D2" s="41"/>
      <c r="E2" s="41"/>
      <c r="F2" s="41"/>
      <c r="G2" s="41"/>
      <c r="H2" s="41"/>
      <c r="I2" s="41"/>
      <c r="J2" s="41"/>
      <c r="K2" s="41"/>
      <c r="L2" s="41"/>
      <c r="M2" s="41"/>
      <c r="N2" s="41"/>
      <c r="O2" s="41"/>
      <c r="P2" s="41"/>
      <c r="Q2" s="41"/>
      <c r="R2" s="41"/>
      <c r="S2" s="41"/>
      <c r="T2" s="41"/>
    </row>
    <row r="3" spans="2:27" ht="40.5" customHeight="1">
      <c r="B3" s="41"/>
      <c r="C3" s="41"/>
      <c r="D3" s="41"/>
      <c r="E3" s="41"/>
      <c r="F3" s="41"/>
      <c r="G3" s="41"/>
      <c r="H3" s="41"/>
      <c r="I3" s="41"/>
      <c r="J3" s="41"/>
      <c r="K3" s="41"/>
      <c r="L3" s="41"/>
      <c r="M3" s="41"/>
      <c r="N3" s="41"/>
      <c r="O3" s="41"/>
      <c r="P3" s="41"/>
      <c r="Q3" s="41"/>
      <c r="R3" s="41"/>
      <c r="S3" s="41"/>
      <c r="T3" s="41"/>
    </row>
    <row r="4" spans="2:27" ht="22.05" customHeight="1">
      <c r="B4" s="41"/>
      <c r="C4" s="41"/>
      <c r="D4" s="41"/>
      <c r="E4" s="41"/>
      <c r="F4" s="41"/>
      <c r="G4" s="41"/>
      <c r="H4" s="41"/>
      <c r="I4" s="41"/>
      <c r="J4" s="41"/>
      <c r="K4" s="41"/>
      <c r="L4" s="41"/>
      <c r="M4" s="41"/>
      <c r="N4" s="41"/>
      <c r="O4" s="41"/>
      <c r="P4" s="41"/>
      <c r="Q4" s="41"/>
      <c r="R4" s="41"/>
      <c r="S4" s="41"/>
      <c r="T4" s="41"/>
    </row>
    <row r="5" spans="2:27" s="9" customFormat="1" ht="15.45" customHeight="1">
      <c r="B5" s="41"/>
      <c r="C5" s="41"/>
      <c r="D5" s="41"/>
      <c r="E5" s="41"/>
      <c r="F5" s="41"/>
      <c r="G5" s="41"/>
      <c r="H5" s="41"/>
      <c r="I5" s="41"/>
      <c r="J5" s="41"/>
      <c r="K5" s="41"/>
      <c r="L5" s="41"/>
      <c r="M5" s="41"/>
      <c r="N5" s="41"/>
      <c r="O5" s="41"/>
      <c r="P5" s="41"/>
      <c r="Q5" s="41"/>
      <c r="R5" s="41"/>
      <c r="S5" s="41"/>
      <c r="T5" s="41"/>
    </row>
    <row r="6" spans="2:27" s="6" customFormat="1" ht="28.95" customHeight="1">
      <c r="B6" s="41"/>
      <c r="C6" s="41"/>
      <c r="D6" s="41"/>
      <c r="E6" s="41"/>
      <c r="F6" s="41"/>
      <c r="G6" s="41"/>
      <c r="H6" s="41"/>
      <c r="I6" s="41"/>
      <c r="J6" s="41"/>
      <c r="K6" s="41"/>
      <c r="L6" s="41"/>
      <c r="M6" s="41"/>
      <c r="N6" s="41"/>
      <c r="O6" s="41"/>
      <c r="P6" s="41"/>
      <c r="Q6" s="41"/>
      <c r="R6" s="41"/>
      <c r="S6" s="41"/>
      <c r="T6" s="41"/>
    </row>
    <row r="7" spans="2:27">
      <c r="B7" s="41"/>
      <c r="C7" s="41"/>
      <c r="D7" s="41"/>
      <c r="E7" s="41"/>
      <c r="F7" s="41"/>
      <c r="G7" s="41"/>
      <c r="H7" s="41"/>
      <c r="I7" s="41"/>
      <c r="J7" s="41"/>
      <c r="K7" s="41"/>
      <c r="L7" s="41"/>
      <c r="M7" s="41"/>
      <c r="N7" s="41"/>
      <c r="O7" s="41"/>
      <c r="P7" s="41"/>
      <c r="Q7" s="41"/>
      <c r="R7" s="41"/>
      <c r="S7" s="41"/>
      <c r="T7" s="41"/>
    </row>
    <row r="8" spans="2:27">
      <c r="B8" s="41"/>
      <c r="C8" s="41"/>
      <c r="D8" s="41"/>
      <c r="E8" s="41"/>
      <c r="F8" s="41"/>
      <c r="G8" s="41"/>
      <c r="H8" s="41"/>
      <c r="I8" s="41"/>
      <c r="J8" s="41"/>
      <c r="K8" s="41"/>
      <c r="L8" s="41"/>
      <c r="M8" s="41"/>
      <c r="N8" s="41"/>
      <c r="O8" s="41"/>
      <c r="P8" s="41"/>
      <c r="Q8" s="41"/>
      <c r="R8" s="41"/>
      <c r="S8" s="41"/>
      <c r="T8" s="41"/>
    </row>
    <row r="9" spans="2:27">
      <c r="B9" s="41"/>
      <c r="C9" s="41"/>
      <c r="D9" s="41"/>
      <c r="E9" s="41"/>
      <c r="F9" s="41"/>
      <c r="G9" s="41"/>
      <c r="H9" s="41"/>
      <c r="I9" s="41"/>
      <c r="J9" s="41"/>
      <c r="K9" s="41"/>
      <c r="L9" s="41"/>
      <c r="M9" s="41"/>
      <c r="N9" s="41"/>
      <c r="O9" s="41"/>
      <c r="P9" s="41"/>
      <c r="Q9" s="41"/>
      <c r="R9" s="41"/>
      <c r="S9" s="41"/>
      <c r="T9" s="41"/>
    </row>
    <row r="10" spans="2:27">
      <c r="B10" s="41"/>
      <c r="C10" s="41"/>
      <c r="D10" s="41"/>
      <c r="E10" s="41"/>
      <c r="F10" s="41"/>
      <c r="G10" s="41"/>
      <c r="H10" s="41"/>
      <c r="I10" s="41"/>
      <c r="J10" s="41"/>
      <c r="K10" s="41"/>
      <c r="L10" s="41"/>
      <c r="M10" s="41"/>
      <c r="N10" s="41"/>
      <c r="O10" s="41"/>
      <c r="P10" s="41"/>
      <c r="Q10" s="41"/>
      <c r="R10" s="41"/>
      <c r="S10" s="41"/>
      <c r="T10" s="41"/>
      <c r="AA10" t="s">
        <v>85</v>
      </c>
    </row>
    <row r="11" spans="2:27">
      <c r="B11" s="41"/>
      <c r="C11" s="41"/>
      <c r="D11" s="41"/>
      <c r="E11" s="41"/>
      <c r="F11" s="41"/>
      <c r="G11" s="41"/>
      <c r="H11" s="41"/>
      <c r="I11" s="41"/>
      <c r="J11" s="41"/>
      <c r="K11" s="41"/>
      <c r="L11" s="41"/>
      <c r="M11" s="41"/>
      <c r="N11" s="41"/>
      <c r="O11" s="41"/>
      <c r="P11" s="41"/>
      <c r="Q11" s="41"/>
      <c r="R11" s="41"/>
      <c r="S11" s="41"/>
      <c r="T11" s="41"/>
    </row>
    <row r="12" spans="2:27">
      <c r="B12" s="41"/>
      <c r="C12" s="41"/>
      <c r="D12" s="41"/>
      <c r="E12" s="41"/>
      <c r="F12" s="41"/>
      <c r="G12" s="41"/>
      <c r="H12" s="41"/>
      <c r="I12" s="41"/>
      <c r="J12" s="41"/>
      <c r="K12" s="41"/>
      <c r="L12" s="41"/>
      <c r="M12" s="41"/>
      <c r="N12" s="41"/>
      <c r="O12" s="41"/>
      <c r="P12" s="41"/>
      <c r="Q12" s="41"/>
      <c r="R12" s="41"/>
      <c r="S12" s="41"/>
      <c r="T12" s="41"/>
    </row>
    <row r="13" spans="2:27">
      <c r="B13" s="41"/>
      <c r="C13" s="41"/>
      <c r="D13" s="41"/>
      <c r="E13" s="41"/>
      <c r="F13" s="41"/>
      <c r="G13" s="41"/>
      <c r="H13" s="41"/>
      <c r="I13" s="41"/>
      <c r="J13" s="41"/>
      <c r="K13" s="41"/>
      <c r="L13" s="41"/>
      <c r="M13" s="41"/>
      <c r="N13" s="41"/>
      <c r="O13" s="41"/>
      <c r="P13" s="41"/>
      <c r="Q13" s="41"/>
      <c r="R13" s="41"/>
      <c r="S13" s="41"/>
      <c r="T13" s="41"/>
    </row>
    <row r="14" spans="2:27">
      <c r="B14" s="41"/>
      <c r="C14" s="41"/>
      <c r="D14" s="41"/>
      <c r="E14" s="41"/>
      <c r="F14" s="41"/>
      <c r="G14" s="41"/>
      <c r="H14" s="41"/>
      <c r="I14" s="41"/>
      <c r="J14" s="41"/>
      <c r="K14" s="41"/>
      <c r="L14" s="41"/>
      <c r="M14" s="41"/>
      <c r="N14" s="41"/>
      <c r="O14" s="41"/>
      <c r="P14" s="41"/>
      <c r="Q14" s="41"/>
      <c r="R14" s="41"/>
      <c r="S14" s="41"/>
      <c r="T14" s="41"/>
    </row>
    <row r="15" spans="2:27">
      <c r="B15" s="41"/>
      <c r="C15" s="41"/>
      <c r="D15" s="41"/>
      <c r="E15" s="41"/>
      <c r="F15" s="41"/>
      <c r="G15" s="41"/>
      <c r="H15" s="41"/>
      <c r="I15" s="41"/>
      <c r="J15" s="41"/>
      <c r="K15" s="41"/>
      <c r="L15" s="41"/>
      <c r="M15" s="41"/>
      <c r="N15" s="41"/>
      <c r="O15" s="41"/>
      <c r="P15" s="41"/>
      <c r="Q15" s="41"/>
      <c r="R15" s="41"/>
      <c r="S15" s="41"/>
      <c r="T15" s="41"/>
    </row>
    <row r="16" spans="2:27">
      <c r="B16" s="41"/>
      <c r="C16" s="41"/>
      <c r="D16" s="41"/>
      <c r="E16" s="41"/>
      <c r="F16" s="41"/>
      <c r="G16" s="41"/>
      <c r="H16" s="41"/>
      <c r="I16" s="41"/>
      <c r="J16" s="41"/>
      <c r="K16" s="41"/>
      <c r="L16" s="41"/>
      <c r="M16" s="41"/>
      <c r="N16" s="41"/>
      <c r="O16" s="41"/>
      <c r="P16" s="41"/>
      <c r="Q16" s="41"/>
      <c r="R16" s="41"/>
      <c r="S16" s="41"/>
      <c r="T16" s="41"/>
    </row>
    <row r="17" spans="2:20">
      <c r="B17" s="41"/>
      <c r="C17" s="41"/>
      <c r="D17" s="41"/>
      <c r="E17" s="41"/>
      <c r="F17" s="41"/>
      <c r="G17" s="41"/>
      <c r="H17" s="41"/>
      <c r="I17" s="41"/>
      <c r="J17" s="41"/>
      <c r="K17" s="41"/>
      <c r="L17" s="41"/>
      <c r="M17" s="41"/>
      <c r="N17" s="41"/>
      <c r="O17" s="41"/>
      <c r="P17" s="41"/>
      <c r="Q17" s="41"/>
      <c r="R17" s="41"/>
      <c r="S17" s="41"/>
      <c r="T17" s="41"/>
    </row>
    <row r="18" spans="2:20">
      <c r="B18" s="41"/>
      <c r="C18" s="41"/>
      <c r="D18" s="41"/>
      <c r="E18" s="41"/>
      <c r="F18" s="41"/>
      <c r="G18" s="41"/>
      <c r="H18" s="41"/>
      <c r="I18" s="41"/>
      <c r="J18" s="41"/>
      <c r="K18" s="41"/>
      <c r="L18" s="41"/>
      <c r="M18" s="41"/>
      <c r="N18" s="41"/>
      <c r="O18" s="41"/>
      <c r="P18" s="41"/>
      <c r="Q18" s="41"/>
      <c r="R18" s="41"/>
      <c r="S18" s="41"/>
      <c r="T18" s="41"/>
    </row>
    <row r="19" spans="2:20">
      <c r="B19" s="41"/>
      <c r="C19" s="41"/>
      <c r="D19" s="41"/>
      <c r="E19" s="41"/>
      <c r="F19" s="41"/>
      <c r="G19" s="41"/>
      <c r="H19" s="41"/>
      <c r="I19" s="41"/>
      <c r="J19" s="41"/>
      <c r="K19" s="41"/>
      <c r="L19" s="41"/>
      <c r="M19" s="41"/>
      <c r="N19" s="41"/>
      <c r="O19" s="41"/>
      <c r="P19" s="41"/>
      <c r="Q19" s="41"/>
      <c r="R19" s="41"/>
      <c r="S19" s="41"/>
      <c r="T19" s="41"/>
    </row>
    <row r="20" spans="2:20">
      <c r="B20" s="41"/>
      <c r="C20" s="41"/>
      <c r="D20" s="41"/>
      <c r="E20" s="41"/>
      <c r="F20" s="41"/>
      <c r="G20" s="41"/>
      <c r="H20" s="41"/>
      <c r="I20" s="41"/>
      <c r="J20" s="41"/>
      <c r="K20" s="41"/>
      <c r="L20" s="41"/>
      <c r="M20" s="41"/>
      <c r="N20" s="41"/>
      <c r="O20" s="41"/>
      <c r="P20" s="41"/>
      <c r="Q20" s="41"/>
      <c r="R20" s="41"/>
      <c r="S20" s="41"/>
      <c r="T20" s="41"/>
    </row>
    <row r="21" spans="2:20">
      <c r="B21" s="41"/>
      <c r="C21" s="41"/>
      <c r="D21" s="41"/>
      <c r="E21" s="41"/>
      <c r="F21" s="41"/>
      <c r="G21" s="41"/>
      <c r="H21" s="41"/>
      <c r="I21" s="41"/>
      <c r="J21" s="41"/>
      <c r="K21" s="41"/>
      <c r="L21" s="41"/>
      <c r="M21" s="41"/>
      <c r="N21" s="41"/>
      <c r="O21" s="41"/>
      <c r="P21" s="41"/>
      <c r="Q21" s="41"/>
      <c r="R21" s="41"/>
      <c r="S21" s="41"/>
      <c r="T21" s="41"/>
    </row>
    <row r="22" spans="2:20">
      <c r="B22" s="41"/>
      <c r="C22" s="41"/>
      <c r="D22" s="41"/>
      <c r="E22" s="41"/>
      <c r="F22" s="41"/>
      <c r="G22" s="41"/>
      <c r="H22" s="41"/>
      <c r="I22" s="41"/>
      <c r="J22" s="41"/>
      <c r="K22" s="41"/>
      <c r="L22" s="41"/>
      <c r="M22" s="41"/>
      <c r="N22" s="41"/>
      <c r="O22" s="41"/>
      <c r="P22" s="41"/>
      <c r="Q22" s="41"/>
      <c r="R22" s="41"/>
      <c r="S22" s="41"/>
      <c r="T22" s="41"/>
    </row>
    <row r="23" spans="2:20">
      <c r="B23" s="41"/>
      <c r="C23" s="41"/>
      <c r="D23" s="41"/>
      <c r="E23" s="41"/>
      <c r="F23" s="41"/>
      <c r="G23" s="41"/>
      <c r="H23" s="41"/>
      <c r="I23" s="41"/>
      <c r="J23" s="41"/>
      <c r="K23" s="41"/>
      <c r="L23" s="41"/>
      <c r="M23" s="41"/>
      <c r="N23" s="41"/>
      <c r="O23" s="41"/>
      <c r="P23" s="41"/>
      <c r="Q23" s="41"/>
      <c r="R23" s="41"/>
      <c r="S23" s="41"/>
      <c r="T23" s="41"/>
    </row>
    <row r="24" spans="2:20">
      <c r="B24" s="41"/>
      <c r="C24" s="41"/>
      <c r="D24" s="41"/>
      <c r="E24" s="41"/>
      <c r="F24" s="41"/>
      <c r="G24" s="41"/>
      <c r="H24" s="41"/>
      <c r="I24" s="41"/>
      <c r="J24" s="41"/>
      <c r="K24" s="41"/>
      <c r="L24" s="41"/>
      <c r="M24" s="41"/>
      <c r="N24" s="41"/>
      <c r="O24" s="41"/>
      <c r="P24" s="41"/>
      <c r="Q24" s="41"/>
      <c r="R24" s="41"/>
      <c r="S24" s="41"/>
      <c r="T24" s="41"/>
    </row>
    <row r="25" spans="2:20">
      <c r="B25" s="41"/>
      <c r="C25" s="41"/>
      <c r="D25" s="41"/>
      <c r="E25" s="41"/>
      <c r="F25" s="41"/>
      <c r="G25" s="41"/>
      <c r="H25" s="41"/>
      <c r="I25" s="41"/>
      <c r="J25" s="41"/>
      <c r="K25" s="41"/>
      <c r="L25" s="41"/>
      <c r="M25" s="41"/>
      <c r="N25" s="41"/>
      <c r="O25" s="41"/>
      <c r="P25" s="41"/>
      <c r="Q25" s="41"/>
      <c r="R25" s="41"/>
      <c r="S25" s="41"/>
      <c r="T25" s="41"/>
    </row>
    <row r="26" spans="2:20">
      <c r="B26" s="41"/>
      <c r="C26" s="41"/>
      <c r="D26" s="41"/>
      <c r="E26" s="41"/>
      <c r="F26" s="41"/>
      <c r="G26" s="41"/>
      <c r="H26" s="41"/>
      <c r="I26" s="41"/>
      <c r="J26" s="41"/>
      <c r="K26" s="41"/>
      <c r="L26" s="41"/>
      <c r="M26" s="41"/>
      <c r="N26" s="41"/>
      <c r="O26" s="41"/>
      <c r="P26" s="41"/>
      <c r="Q26" s="41"/>
      <c r="R26" s="41"/>
      <c r="S26" s="41"/>
      <c r="T26" s="41"/>
    </row>
    <row r="27" spans="2:20">
      <c r="B27" s="41"/>
      <c r="C27" s="41"/>
      <c r="D27" s="41"/>
      <c r="E27" s="41"/>
      <c r="F27" s="41"/>
      <c r="G27" s="41"/>
      <c r="H27" s="41"/>
      <c r="I27" s="41"/>
      <c r="J27" s="41"/>
      <c r="K27" s="41"/>
      <c r="L27" s="41"/>
      <c r="M27" s="41"/>
      <c r="N27" s="41"/>
      <c r="O27" s="41"/>
      <c r="P27" s="41"/>
      <c r="Q27" s="41"/>
      <c r="R27" s="41"/>
      <c r="S27" s="41"/>
      <c r="T27" s="41"/>
    </row>
    <row r="28" spans="2:20">
      <c r="B28" s="41"/>
      <c r="C28" s="41"/>
      <c r="D28" s="41"/>
      <c r="E28" s="41"/>
      <c r="F28" s="41"/>
      <c r="G28" s="41"/>
      <c r="H28" s="41"/>
      <c r="I28" s="41"/>
      <c r="J28" s="41"/>
      <c r="K28" s="41"/>
      <c r="L28" s="41"/>
      <c r="M28" s="41"/>
      <c r="N28" s="41"/>
      <c r="O28" s="41"/>
      <c r="P28" s="41"/>
      <c r="Q28" s="41"/>
      <c r="R28" s="41"/>
      <c r="S28" s="41"/>
      <c r="T28" s="41"/>
    </row>
    <row r="29" spans="2:20">
      <c r="B29" s="41"/>
      <c r="C29" s="41"/>
      <c r="D29" s="41"/>
      <c r="E29" s="41"/>
      <c r="F29" s="41"/>
      <c r="G29" s="41"/>
      <c r="H29" s="41"/>
      <c r="I29" s="41"/>
      <c r="J29" s="41"/>
      <c r="K29" s="41"/>
      <c r="L29" s="41"/>
      <c r="M29" s="41"/>
      <c r="N29" s="41"/>
      <c r="O29" s="41"/>
      <c r="P29" s="41"/>
      <c r="Q29" s="41"/>
      <c r="R29" s="41"/>
      <c r="S29" s="41"/>
      <c r="T29" s="41"/>
    </row>
    <row r="30" spans="2:20">
      <c r="B30" s="41"/>
      <c r="C30" s="41"/>
      <c r="D30" s="41"/>
      <c r="E30" s="41"/>
      <c r="F30" s="41"/>
      <c r="G30" s="41"/>
      <c r="H30" s="41"/>
      <c r="I30" s="41"/>
      <c r="J30" s="41"/>
      <c r="K30" s="41"/>
      <c r="L30" s="41"/>
      <c r="M30" s="41"/>
      <c r="N30" s="41"/>
      <c r="O30" s="41"/>
      <c r="P30" s="41"/>
      <c r="Q30" s="41"/>
      <c r="R30" s="41"/>
      <c r="S30" s="41"/>
      <c r="T30" s="41"/>
    </row>
    <row r="31" spans="2:20">
      <c r="B31" s="41"/>
      <c r="C31" s="41"/>
      <c r="D31" s="41"/>
      <c r="E31" s="41"/>
      <c r="F31" s="41"/>
      <c r="G31" s="41"/>
      <c r="H31" s="41"/>
      <c r="I31" s="41"/>
      <c r="J31" s="41"/>
      <c r="K31" s="41"/>
      <c r="L31" s="41"/>
      <c r="M31" s="41"/>
      <c r="N31" s="41"/>
      <c r="O31" s="41"/>
      <c r="P31" s="41"/>
      <c r="Q31" s="41"/>
      <c r="R31" s="41"/>
      <c r="S31" s="41"/>
      <c r="T31" s="41"/>
    </row>
    <row r="32" spans="2:20">
      <c r="B32" s="41"/>
      <c r="C32" s="41"/>
      <c r="D32" s="41"/>
      <c r="E32" s="41"/>
      <c r="F32" s="41"/>
      <c r="G32" s="41"/>
      <c r="H32" s="41"/>
      <c r="I32" s="41"/>
      <c r="J32" s="41"/>
      <c r="K32" s="41"/>
      <c r="L32" s="41"/>
      <c r="M32" s="41"/>
      <c r="N32" s="41"/>
      <c r="O32" s="41"/>
      <c r="P32" s="41"/>
      <c r="Q32" s="41"/>
      <c r="R32" s="41"/>
      <c r="S32" s="41"/>
      <c r="T32" s="41"/>
    </row>
    <row r="33" spans="2:20">
      <c r="B33" s="41"/>
      <c r="C33" s="41"/>
      <c r="D33" s="41"/>
      <c r="E33" s="41"/>
      <c r="F33" s="41"/>
      <c r="G33" s="41"/>
      <c r="H33" s="41"/>
      <c r="I33" s="41"/>
      <c r="J33" s="41"/>
      <c r="K33" s="41"/>
      <c r="L33" s="41"/>
      <c r="M33" s="41"/>
      <c r="N33" s="41"/>
      <c r="O33" s="41"/>
      <c r="P33" s="41"/>
      <c r="Q33" s="41"/>
      <c r="R33" s="41"/>
      <c r="S33" s="41"/>
      <c r="T33" s="41"/>
    </row>
    <row r="34" spans="2:20">
      <c r="B34" s="41"/>
      <c r="C34" s="41"/>
      <c r="D34" s="41"/>
      <c r="E34" s="41"/>
      <c r="F34" s="41"/>
      <c r="G34" s="41"/>
      <c r="H34" s="41"/>
      <c r="I34" s="41"/>
      <c r="J34" s="41"/>
      <c r="K34" s="41"/>
      <c r="L34" s="41"/>
      <c r="M34" s="41"/>
      <c r="N34" s="41"/>
      <c r="O34" s="41"/>
      <c r="P34" s="41"/>
      <c r="Q34" s="41"/>
      <c r="R34" s="41"/>
      <c r="S34" s="41"/>
      <c r="T34" s="41"/>
    </row>
    <row r="35" spans="2:20">
      <c r="B35" s="41"/>
      <c r="C35" s="41"/>
      <c r="D35" s="41"/>
      <c r="E35" s="41"/>
      <c r="F35" s="41"/>
      <c r="G35" s="41"/>
      <c r="H35" s="41"/>
      <c r="I35" s="41"/>
      <c r="J35" s="41"/>
      <c r="K35" s="41"/>
      <c r="L35" s="41"/>
      <c r="M35" s="41"/>
      <c r="N35" s="41"/>
      <c r="O35" s="41"/>
      <c r="P35" s="41"/>
      <c r="Q35" s="41"/>
      <c r="R35" s="41"/>
      <c r="S35" s="41"/>
      <c r="T35" s="41"/>
    </row>
    <row r="36" spans="2:20">
      <c r="B36" s="41"/>
      <c r="C36" s="41"/>
      <c r="D36" s="41"/>
      <c r="E36" s="41"/>
      <c r="F36" s="41"/>
      <c r="G36" s="41"/>
      <c r="H36" s="41"/>
      <c r="I36" s="41"/>
      <c r="J36" s="41"/>
      <c r="K36" s="41"/>
      <c r="L36" s="41"/>
      <c r="M36" s="41"/>
      <c r="N36" s="41"/>
      <c r="O36" s="41"/>
      <c r="P36" s="41"/>
      <c r="Q36" s="41"/>
      <c r="R36" s="41"/>
      <c r="S36" s="41"/>
      <c r="T36" s="41"/>
    </row>
    <row r="37" spans="2:20">
      <c r="B37" s="41"/>
      <c r="C37" s="41"/>
      <c r="D37" s="41"/>
      <c r="E37" s="41"/>
      <c r="F37" s="41"/>
      <c r="G37" s="41"/>
      <c r="H37" s="41"/>
      <c r="I37" s="41"/>
      <c r="J37" s="41"/>
      <c r="K37" s="41"/>
      <c r="L37" s="41"/>
      <c r="M37" s="41"/>
      <c r="N37" s="41"/>
      <c r="O37" s="41"/>
      <c r="P37" s="41"/>
      <c r="Q37" s="41"/>
      <c r="R37" s="41"/>
      <c r="S37" s="41"/>
      <c r="T37" s="41"/>
    </row>
    <row r="38" spans="2:20">
      <c r="B38" s="41"/>
      <c r="C38" s="41"/>
      <c r="D38" s="41"/>
      <c r="E38" s="41"/>
      <c r="F38" s="41"/>
      <c r="G38" s="41"/>
      <c r="H38" s="41"/>
      <c r="I38" s="41"/>
      <c r="J38" s="41"/>
      <c r="K38" s="41"/>
      <c r="L38" s="41"/>
      <c r="M38" s="41"/>
      <c r="N38" s="41"/>
      <c r="O38" s="41"/>
      <c r="P38" s="41"/>
      <c r="Q38" s="41"/>
      <c r="R38" s="41"/>
      <c r="S38" s="41"/>
      <c r="T38" s="41"/>
    </row>
    <row r="39" spans="2:20">
      <c r="B39" s="41"/>
      <c r="C39" s="41"/>
      <c r="D39" s="41"/>
      <c r="E39" s="41"/>
      <c r="F39" s="41"/>
      <c r="G39" s="41"/>
      <c r="H39" s="41"/>
      <c r="I39" s="41"/>
      <c r="J39" s="41"/>
      <c r="K39" s="41"/>
      <c r="L39" s="41"/>
      <c r="M39" s="41"/>
      <c r="N39" s="41"/>
      <c r="O39" s="41"/>
      <c r="P39" s="41"/>
      <c r="Q39" s="41"/>
      <c r="R39" s="41"/>
      <c r="S39" s="41"/>
      <c r="T39" s="41"/>
    </row>
    <row r="40" spans="2:20">
      <c r="B40" s="41"/>
      <c r="C40" s="41"/>
      <c r="D40" s="41"/>
      <c r="E40" s="41"/>
      <c r="F40" s="41"/>
      <c r="G40" s="41"/>
      <c r="H40" s="41"/>
      <c r="I40" s="41"/>
      <c r="J40" s="41"/>
      <c r="K40" s="41"/>
      <c r="L40" s="41"/>
      <c r="M40" s="41"/>
      <c r="N40" s="41"/>
      <c r="O40" s="41"/>
      <c r="P40" s="41"/>
      <c r="Q40" s="41"/>
      <c r="R40" s="41"/>
      <c r="S40" s="41"/>
      <c r="T40" s="41"/>
    </row>
    <row r="41" spans="2:20">
      <c r="B41" s="41"/>
      <c r="C41" s="41"/>
      <c r="D41" s="41"/>
      <c r="E41" s="41"/>
      <c r="F41" s="41"/>
      <c r="G41" s="41"/>
      <c r="H41" s="41"/>
      <c r="I41" s="41"/>
      <c r="J41" s="41"/>
      <c r="K41" s="41"/>
      <c r="L41" s="41"/>
      <c r="M41" s="41"/>
      <c r="N41" s="41"/>
      <c r="O41" s="41"/>
      <c r="P41" s="41"/>
      <c r="Q41" s="41"/>
      <c r="R41" s="41"/>
      <c r="S41" s="41"/>
      <c r="T41" s="41"/>
    </row>
    <row r="42" spans="2:20">
      <c r="B42" s="41"/>
      <c r="C42" s="41"/>
      <c r="D42" s="41"/>
      <c r="E42" s="41"/>
      <c r="F42" s="41"/>
      <c r="G42" s="41"/>
      <c r="H42" s="41"/>
      <c r="I42" s="41"/>
      <c r="J42" s="41"/>
      <c r="K42" s="41"/>
      <c r="L42" s="41"/>
      <c r="M42" s="41"/>
      <c r="N42" s="41"/>
      <c r="O42" s="41"/>
      <c r="P42" s="41"/>
      <c r="Q42" s="41"/>
      <c r="R42" s="41"/>
      <c r="S42" s="41"/>
      <c r="T42" s="41"/>
    </row>
    <row r="43" spans="2:20">
      <c r="B43" s="41"/>
      <c r="C43" s="41"/>
      <c r="D43" s="41"/>
      <c r="E43" s="41"/>
      <c r="F43" s="41"/>
      <c r="G43" s="41"/>
      <c r="H43" s="41"/>
      <c r="I43" s="41"/>
      <c r="J43" s="41"/>
      <c r="K43" s="41"/>
      <c r="L43" s="41"/>
      <c r="M43" s="41"/>
      <c r="N43" s="41"/>
      <c r="O43" s="41"/>
      <c r="P43" s="41"/>
      <c r="Q43" s="41"/>
      <c r="R43" s="41"/>
      <c r="S43" s="41"/>
      <c r="T43" s="41"/>
    </row>
    <row r="44" spans="2:20">
      <c r="B44" s="41"/>
      <c r="C44" s="41"/>
      <c r="D44" s="41"/>
      <c r="E44" s="41"/>
      <c r="F44" s="41"/>
      <c r="G44" s="41"/>
      <c r="H44" s="41"/>
      <c r="I44" s="41"/>
      <c r="J44" s="41"/>
      <c r="K44" s="41"/>
      <c r="L44" s="41"/>
      <c r="M44" s="41"/>
      <c r="N44" s="41"/>
      <c r="O44" s="41"/>
      <c r="P44" s="41"/>
      <c r="Q44" s="41"/>
      <c r="R44" s="41"/>
      <c r="S44" s="41"/>
      <c r="T44" s="41"/>
    </row>
    <row r="45" spans="2:20">
      <c r="B45" s="41"/>
      <c r="C45" s="41"/>
      <c r="D45" s="41"/>
      <c r="E45" s="41"/>
      <c r="F45" s="41"/>
      <c r="G45" s="41"/>
      <c r="H45" s="41"/>
      <c r="I45" s="41"/>
      <c r="J45" s="41"/>
      <c r="K45" s="41"/>
      <c r="L45" s="41"/>
      <c r="M45" s="41"/>
      <c r="N45" s="41"/>
      <c r="O45" s="41"/>
      <c r="P45" s="41"/>
      <c r="Q45" s="41"/>
      <c r="R45" s="41"/>
      <c r="S45" s="41"/>
      <c r="T45" s="41"/>
    </row>
    <row r="46" spans="2:20">
      <c r="B46" s="41"/>
      <c r="C46" s="41"/>
      <c r="D46" s="41"/>
      <c r="E46" s="41"/>
      <c r="F46" s="41"/>
      <c r="G46" s="41"/>
      <c r="H46" s="41"/>
      <c r="I46" s="41"/>
      <c r="J46" s="41"/>
      <c r="K46" s="41"/>
      <c r="L46" s="41"/>
      <c r="M46" s="41"/>
      <c r="N46" s="41"/>
      <c r="O46" s="41"/>
      <c r="P46" s="41"/>
      <c r="Q46" s="41"/>
      <c r="R46" s="41"/>
      <c r="S46" s="41"/>
      <c r="T46" s="41"/>
    </row>
    <row r="47" spans="2:20">
      <c r="B47" s="41"/>
      <c r="C47" s="41"/>
      <c r="D47" s="41"/>
      <c r="E47" s="41"/>
      <c r="F47" s="41"/>
      <c r="G47" s="41"/>
      <c r="H47" s="41"/>
      <c r="I47" s="41"/>
      <c r="J47" s="41"/>
      <c r="K47" s="41"/>
      <c r="L47" s="41"/>
      <c r="M47" s="41"/>
      <c r="N47" s="41"/>
      <c r="O47" s="41"/>
      <c r="P47" s="41"/>
      <c r="Q47" s="41"/>
      <c r="R47" s="41"/>
      <c r="S47" s="41"/>
      <c r="T47" s="41"/>
    </row>
    <row r="48" spans="2:20">
      <c r="B48" s="41"/>
      <c r="C48" s="41"/>
      <c r="D48" s="41"/>
      <c r="E48" s="41"/>
      <c r="F48" s="41"/>
      <c r="G48" s="41"/>
      <c r="H48" s="41"/>
      <c r="I48" s="41"/>
      <c r="J48" s="41"/>
      <c r="K48" s="41"/>
      <c r="L48" s="41"/>
      <c r="M48" s="41"/>
      <c r="N48" s="41"/>
      <c r="O48" s="41"/>
      <c r="P48" s="41"/>
      <c r="Q48" s="41"/>
      <c r="R48" s="41"/>
      <c r="S48" s="41"/>
      <c r="T48" s="41"/>
    </row>
    <row r="49" spans="2:20">
      <c r="B49" s="41"/>
      <c r="C49" s="41"/>
      <c r="D49" s="41"/>
      <c r="E49" s="41"/>
      <c r="F49" s="41"/>
      <c r="G49" s="41"/>
      <c r="H49" s="41"/>
      <c r="I49" s="41"/>
      <c r="J49" s="41"/>
      <c r="K49" s="41"/>
      <c r="L49" s="41"/>
      <c r="M49" s="41"/>
      <c r="N49" s="41"/>
      <c r="O49" s="41"/>
      <c r="P49" s="41"/>
      <c r="Q49" s="41"/>
      <c r="R49" s="41"/>
      <c r="S49" s="41"/>
      <c r="T49" s="41"/>
    </row>
    <row r="50" spans="2:20">
      <c r="B50" s="41"/>
      <c r="C50" s="41"/>
      <c r="D50" s="41"/>
      <c r="E50" s="41"/>
      <c r="F50" s="41"/>
      <c r="G50" s="41"/>
      <c r="H50" s="41"/>
      <c r="I50" s="41"/>
      <c r="J50" s="41"/>
      <c r="K50" s="41"/>
      <c r="L50" s="41"/>
      <c r="M50" s="41"/>
      <c r="N50" s="41"/>
      <c r="O50" s="41"/>
      <c r="P50" s="41"/>
      <c r="Q50" s="41"/>
      <c r="R50" s="41"/>
      <c r="S50" s="41"/>
      <c r="T50" s="41"/>
    </row>
    <row r="51" spans="2:20">
      <c r="B51" s="41"/>
      <c r="C51" s="41"/>
      <c r="D51" s="41"/>
      <c r="E51" s="41"/>
      <c r="F51" s="41"/>
      <c r="G51" s="41"/>
      <c r="H51" s="41"/>
      <c r="I51" s="41"/>
      <c r="J51" s="41"/>
      <c r="K51" s="41"/>
      <c r="L51" s="41"/>
      <c r="M51" s="41"/>
      <c r="N51" s="41"/>
      <c r="O51" s="41"/>
      <c r="P51" s="41"/>
      <c r="Q51" s="41"/>
      <c r="R51" s="41"/>
      <c r="S51" s="41"/>
      <c r="T51" s="41"/>
    </row>
    <row r="52" spans="2:20">
      <c r="B52" s="41"/>
      <c r="C52" s="41"/>
      <c r="D52" s="41"/>
      <c r="E52" s="41"/>
      <c r="F52" s="41"/>
      <c r="G52" s="41"/>
      <c r="H52" s="41"/>
      <c r="I52" s="41"/>
      <c r="J52" s="41"/>
      <c r="K52" s="41"/>
      <c r="L52" s="41"/>
      <c r="M52" s="41"/>
      <c r="N52" s="41"/>
      <c r="O52" s="41"/>
      <c r="P52" s="41"/>
      <c r="Q52" s="41"/>
      <c r="R52" s="41"/>
      <c r="S52" s="41"/>
      <c r="T52" s="41"/>
    </row>
  </sheetData>
  <mergeCells count="1">
    <mergeCell ref="B2:T5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E16"/>
  <sheetViews>
    <sheetView workbookViewId="0">
      <selection activeCell="E13" sqref="E13"/>
    </sheetView>
  </sheetViews>
  <sheetFormatPr defaultRowHeight="13.8"/>
  <sheetData>
    <row r="2" spans="3:5">
      <c r="C2" t="s">
        <v>10</v>
      </c>
      <c r="E2" t="s">
        <v>32</v>
      </c>
    </row>
    <row r="3" spans="3:5">
      <c r="C3" t="s">
        <v>20</v>
      </c>
      <c r="E3" t="s">
        <v>42</v>
      </c>
    </row>
    <row r="4" spans="3:5">
      <c r="C4" t="s">
        <v>21</v>
      </c>
      <c r="E4" t="s">
        <v>43</v>
      </c>
    </row>
    <row r="5" spans="3:5">
      <c r="C5" t="s">
        <v>22</v>
      </c>
      <c r="E5" t="s">
        <v>44</v>
      </c>
    </row>
    <row r="6" spans="3:5">
      <c r="C6" t="s">
        <v>23</v>
      </c>
      <c r="E6" t="s">
        <v>45</v>
      </c>
    </row>
    <row r="7" spans="3:5">
      <c r="C7" t="s">
        <v>24</v>
      </c>
      <c r="E7" t="s">
        <v>46</v>
      </c>
    </row>
    <row r="8" spans="3:5">
      <c r="C8" t="s">
        <v>25</v>
      </c>
      <c r="E8" t="s">
        <v>47</v>
      </c>
    </row>
    <row r="9" spans="3:5">
      <c r="C9" t="s">
        <v>26</v>
      </c>
      <c r="E9" t="s">
        <v>52</v>
      </c>
    </row>
    <row r="10" spans="3:5">
      <c r="C10" t="s">
        <v>27</v>
      </c>
      <c r="E10" t="s">
        <v>48</v>
      </c>
    </row>
    <row r="11" spans="3:5">
      <c r="C11" t="s">
        <v>28</v>
      </c>
      <c r="E11" t="s">
        <v>49</v>
      </c>
    </row>
    <row r="12" spans="3:5">
      <c r="C12" t="s">
        <v>29</v>
      </c>
      <c r="E12" t="s">
        <v>50</v>
      </c>
    </row>
    <row r="13" spans="3:5">
      <c r="C13" t="s">
        <v>30</v>
      </c>
      <c r="E13" t="s">
        <v>73</v>
      </c>
    </row>
    <row r="14" spans="3:5">
      <c r="C14" t="s">
        <v>39</v>
      </c>
      <c r="E14" t="s">
        <v>51</v>
      </c>
    </row>
    <row r="15" spans="3:5">
      <c r="C15" t="s">
        <v>74</v>
      </c>
    </row>
    <row r="16" spans="3:5">
      <c r="C1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Date</vt:lpstr>
      <vt:lpstr>NPT</vt:lpstr>
      <vt:lpstr>Metrics</vt:lpstr>
      <vt:lpstr>Dashboard</vt:lpstr>
      <vt:lpstr>Validation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Chinazor Nwadiaro</dc:creator>
  <cp:lastModifiedBy>user</cp:lastModifiedBy>
  <dcterms:created xsi:type="dcterms:W3CDTF">2026-06-15T13:00:37Z</dcterms:created>
  <dcterms:modified xsi:type="dcterms:W3CDTF">2026-08-25T21:52:45Z</dcterms:modified>
</cp:coreProperties>
</file>